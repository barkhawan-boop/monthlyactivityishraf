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6400AFC0-D898-4E9E-8D73-FF0499163E5A}" xr6:coauthVersionLast="47" xr6:coauthVersionMax="47" xr10:uidLastSave="{00000000-0000-0000-0000-000000000000}"/>
  <bookViews>
    <workbookView xWindow="-110" yWindow="-110" windowWidth="19420" windowHeight="10300" tabRatio="705" xr2:uid="{00000000-000D-0000-FFFF-FFFF00000000}"/>
  </bookViews>
  <sheets>
    <sheet name="سەرەتا" sheetId="4" r:id="rId1"/>
    <sheet name="س١" sheetId="5" r:id="rId2"/>
    <sheet name="س٢" sheetId="6" r:id="rId3"/>
    <sheet name="س٣" sheetId="7" r:id="rId4"/>
    <sheet name="س٤" sheetId="8" r:id="rId5"/>
    <sheet name="پوختە" sheetId="16" r:id="rId6"/>
  </sheets>
  <definedNames>
    <definedName name="_xlnm._FilterDatabase" localSheetId="1" hidden="1">س١!$A$8:$I$32</definedName>
    <definedName name="_xlnm._FilterDatabase" localSheetId="2" hidden="1">س٢!$A$4:$M$42</definedName>
    <definedName name="_xlnm._FilterDatabase" localSheetId="3" hidden="1">س٣!$A$4:$M$41</definedName>
    <definedName name="_xlnm._FilterDatabase" localSheetId="0" hidden="1">سەرەتا!#REF!</definedName>
    <definedName name="_xlnm.Print_Area" localSheetId="1">س١!$A$1:$L$43</definedName>
    <definedName name="_xlnm.Print_Area" localSheetId="2">س٢!$A$1:$L$47</definedName>
    <definedName name="_xlnm.Print_Area" localSheetId="3">س٣!$A$1:$L$48</definedName>
    <definedName name="_xlnm.Print_Area" localSheetId="0">سەرەتا!#REF!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7" i="16" l="1"/>
  <c r="O11" i="16"/>
  <c r="N11" i="16"/>
  <c r="M11" i="16"/>
  <c r="P11" i="16" s="1"/>
  <c r="J11" i="16"/>
  <c r="I11" i="16"/>
  <c r="F11" i="16"/>
  <c r="E11" i="16"/>
  <c r="O10" i="16"/>
  <c r="N10" i="16"/>
  <c r="M10" i="16"/>
  <c r="J10" i="16"/>
  <c r="K10" i="16" s="1"/>
  <c r="I9" i="16"/>
  <c r="F10" i="16"/>
  <c r="G10" i="16" s="1"/>
  <c r="E10" i="16"/>
  <c r="P9" i="16"/>
  <c r="N8" i="16"/>
  <c r="M8" i="16"/>
  <c r="J8" i="16"/>
  <c r="I8" i="16"/>
  <c r="F9" i="16"/>
  <c r="E9" i="16"/>
  <c r="Q9" i="16"/>
  <c r="Q10" i="16"/>
  <c r="Q11" i="16"/>
  <c r="Q8" i="16"/>
  <c r="Q12" i="16" s="1"/>
  <c r="H12" i="16"/>
  <c r="G8" i="16"/>
  <c r="F8" i="16"/>
  <c r="E8" i="16"/>
  <c r="C11" i="16"/>
  <c r="C10" i="16"/>
  <c r="C9" i="16"/>
  <c r="C8" i="16"/>
  <c r="I3" i="8"/>
  <c r="I3" i="7"/>
  <c r="I3" i="6"/>
  <c r="I3" i="5"/>
  <c r="D3" i="5"/>
  <c r="B3" i="5"/>
  <c r="D3" i="6"/>
  <c r="B3" i="6"/>
  <c r="D3" i="7"/>
  <c r="B3" i="7"/>
  <c r="D3" i="8"/>
  <c r="B3" i="8"/>
  <c r="B41" i="8"/>
  <c r="B43" i="7"/>
  <c r="B44" i="6"/>
  <c r="B41" i="5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L12" i="16"/>
  <c r="D12" i="16"/>
  <c r="G9" i="16"/>
  <c r="K35" i="5"/>
  <c r="F35" i="5"/>
  <c r="C35" i="5"/>
  <c r="K37" i="7"/>
  <c r="F37" i="7"/>
  <c r="C37" i="7"/>
  <c r="K35" i="8"/>
  <c r="F35" i="8"/>
  <c r="C35" i="8"/>
  <c r="K38" i="6"/>
  <c r="F38" i="6"/>
  <c r="C38" i="6"/>
  <c r="O12" i="16" l="1"/>
  <c r="N12" i="16"/>
  <c r="M12" i="16"/>
  <c r="K11" i="16"/>
  <c r="G11" i="16"/>
  <c r="P10" i="16"/>
  <c r="P12" i="16" s="1"/>
  <c r="J12" i="16"/>
  <c r="I12" i="16"/>
  <c r="P8" i="16"/>
  <c r="F12" i="16"/>
  <c r="K8" i="16"/>
  <c r="G12" i="16"/>
  <c r="E12" i="16"/>
  <c r="K12" i="16" l="1"/>
</calcChain>
</file>

<file path=xl/sharedStrings.xml><?xml version="1.0" encoding="utf-8"?>
<sst xmlns="http://schemas.openxmlformats.org/spreadsheetml/2006/main" count="443" uniqueCount="100">
  <si>
    <t xml:space="preserve">بەڕێوەبەرایەتی دڵنیایی جۆری و سەرپەرشتیکردنی پەروەردەیی هەولێر                                                                     </t>
  </si>
  <si>
    <t>ڕۆژ</t>
  </si>
  <si>
    <t>ڕێکەوت</t>
  </si>
  <si>
    <t>کورتەی کارو چالاکی ئەنجامدراو</t>
  </si>
  <si>
    <t>ژمارەی کۆبونەوەکانی بەشداریکردوە</t>
  </si>
  <si>
    <t>ژمارەی کۆبونەوەکانی ئەنجامی داوە</t>
  </si>
  <si>
    <t>ژمارەی لیژنەکانی بەشداریکردووە</t>
  </si>
  <si>
    <t>ژمارەی لێکۆڵینەوەکانی کە بەشداریکردووە</t>
  </si>
  <si>
    <t>ژمارەی ئەو وانە مەشقی و ڕاهێنانی کە خۆی ئەنجامی داوە</t>
  </si>
  <si>
    <t>ژمارەی ئەو کۆرو سمیناری کە  خۆی ئەنجامی داوە</t>
  </si>
  <si>
    <t>ژمارەی ڕاپۆرتەکانی لەسەر پرۆگرام و پرۆسەی پەروەردە</t>
  </si>
  <si>
    <t>ژمارەی بەشداریکردنی لە کۆبونەوەی دایبابان</t>
  </si>
  <si>
    <t>ژمارەی ئامادەبوونی لە وانەی مامۆستایی ڕاهێنەر</t>
  </si>
  <si>
    <t>ژمارەی یاداشتەکانی</t>
  </si>
  <si>
    <t>ژمارەی چالاکی جۆراو جۆری کە ئەنجامی داوە</t>
  </si>
  <si>
    <t xml:space="preserve">یەکەی دڵنیایی جۆریی وسەرپەرشتیکردنی پەروەردەیی هەولێر                           </t>
  </si>
  <si>
    <t>شەممە</t>
  </si>
  <si>
    <t>یەکشەم</t>
  </si>
  <si>
    <t>دووشەم</t>
  </si>
  <si>
    <t>سێشەم</t>
  </si>
  <si>
    <t>چوارشەم</t>
  </si>
  <si>
    <t>هەینی</t>
  </si>
  <si>
    <t>پێنج شەم</t>
  </si>
  <si>
    <t>ئامادەبوون لە فەرمانگە</t>
  </si>
  <si>
    <t>سەرپەرشتیاری پەروەردەیی : سەردانی ق. دانای بنەرەتی</t>
  </si>
  <si>
    <t>سەرپەرشتیاری پەروەردەیی : سەردانی ق. پێشرەوی بنەرەتی</t>
  </si>
  <si>
    <t>سەرپەرشتیاری پەروەردەیی : سەردانی ئا. پیشەسازی کوران</t>
  </si>
  <si>
    <t>سەرپەرشتیاری پەروەردەیی : سەردانی ئا. پێشەسازی کچان</t>
  </si>
  <si>
    <t>پشوو</t>
  </si>
  <si>
    <t>ژمارەى ئەو قوتابخانانەى لە ئەستۆیەتى</t>
  </si>
  <si>
    <t>ژمارەى ئەو قوتابخانانەى لە پلاندان بۆ سەردانیکردن لەم مانگە</t>
  </si>
  <si>
    <t>ژمارەى قوتابخانەکانى سەردانى کردوە لەم مانگە</t>
  </si>
  <si>
    <t>کۆ</t>
  </si>
  <si>
    <t>سەرپەرشتیاری پەروەردەیی</t>
  </si>
  <si>
    <t>هەلسەنگاندنی دەرەکی</t>
  </si>
  <si>
    <t>هەر سەردانێکی تری فەرمی</t>
  </si>
  <si>
    <t>لێژنەی هەلسەنگاندنی دەرەکی: نۆڤای بنەرەتی</t>
  </si>
  <si>
    <t>لێژنەی هەلسەنگاندنی دەرەکی: نۆڤا باخچە</t>
  </si>
  <si>
    <t>لێژنەی هەلسەنگاندنی دەرەکی: خانەقینی بنەرەتی</t>
  </si>
  <si>
    <t>لێژنەی هەلسەنگاندنی دەرەکی: فاخیر مێرگەسۆری</t>
  </si>
  <si>
    <t>لێژنەی هەلسەنگاندنی دەرەکی: ئا. ئەحمەدی خانی</t>
  </si>
  <si>
    <t>سەرپەرشتیاری قوتابخانە : قارەمانی بنەرەتی</t>
  </si>
  <si>
    <t>سەرپەرشتیاری قوتابخانە : پێشەوای بنەرەتی</t>
  </si>
  <si>
    <t>سەرپەرشتیاری قوتابخانە : دانا بنەرەتی</t>
  </si>
  <si>
    <t>سەرپەرشتیاری قوتابخانە : پیشەسازی کوران</t>
  </si>
  <si>
    <t>سەرپەرشتیاری قوتابخانە : پیشەسازی کچان</t>
  </si>
  <si>
    <t xml:space="preserve">سەرپەرشتیارەی ئەزموونی کوردی : دواناوەندی ئاداری ناحکومی </t>
  </si>
  <si>
    <t>یەكەی دڵنیایی جۆری سەرپەرشتیكردنی پەروەردەیی ناوەندی هەولێر</t>
  </si>
  <si>
    <t>ژ</t>
  </si>
  <si>
    <t>ناوى سەرپەرشتيار</t>
  </si>
  <si>
    <t>پسپۆرى</t>
  </si>
  <si>
    <t>سەردانەكان</t>
  </si>
  <si>
    <t>چالاكيەكان</t>
  </si>
  <si>
    <t xml:space="preserve">ژمارەى ئەو </t>
  </si>
  <si>
    <t xml:space="preserve">ژمارەى ئەو قوتابخانانەى </t>
  </si>
  <si>
    <t>ژمارەى سەردانەكانى</t>
  </si>
  <si>
    <t>ژمارەی ئەو ئەو قوتابخانانەی لە ئەستۆیدایە</t>
  </si>
  <si>
    <t>ژمارەی کۆبونەوەکانى بەشداریکردووە</t>
  </si>
  <si>
    <t>ژمارەی ڕاپۆرتەکانی لەسەر پرۆگرام و پڕۆسەی پەروەردە</t>
  </si>
  <si>
    <t>ژمارەی قوتابخانەکانی بە پێی پلانی ئەو مانگەی</t>
  </si>
  <si>
    <t>ژمارەی بەشداریکردنی کۆبونەوەی داایبابان</t>
  </si>
  <si>
    <t>ژمارەی یاداشت</t>
  </si>
  <si>
    <t>ژمارەی سەرداناکان بەگشتی بۆ قوتابخانەکان</t>
  </si>
  <si>
    <t>ژمارەی لێژنەکانی بەشداریکردووە</t>
  </si>
  <si>
    <t>ژمارەی ئەو کۆڕو سیمیناری کە خۆی ئەنجامیداوە</t>
  </si>
  <si>
    <t>ژمارەی ئامادەبوونی لە وانەی مامۆستای ڕاهێنەر</t>
  </si>
  <si>
    <t>ژمارەی چاڵاکی جۆراوجۆری کە ئەنجامی داوە</t>
  </si>
  <si>
    <t>قوتابخانانەى لە</t>
  </si>
  <si>
    <t>لە پلاندان بۆ سەردانيكردن</t>
  </si>
  <si>
    <t>بۆ قوتابخانەكان</t>
  </si>
  <si>
    <t xml:space="preserve">  ئەستۆيەتى</t>
  </si>
  <si>
    <t>لەم مانگە</t>
  </si>
  <si>
    <t>هەڵسەنگاندنى دەرەكى</t>
  </si>
  <si>
    <t>كۆ</t>
  </si>
  <si>
    <t>هەر سەردانێكى ترى فەرمى</t>
  </si>
  <si>
    <t xml:space="preserve">مظفر حيدر مولود </t>
  </si>
  <si>
    <t>کۆمپیوتەر</t>
  </si>
  <si>
    <t>عبدالصمد محمد على</t>
  </si>
  <si>
    <t xml:space="preserve">خالد ابراهيم رحيم </t>
  </si>
  <si>
    <t xml:space="preserve">بەرخەوان عثمان امين </t>
  </si>
  <si>
    <t>کۆى گشتى</t>
  </si>
  <si>
    <t>بەرپرسی بەش</t>
  </si>
  <si>
    <t>ساڵی 2025-2026</t>
  </si>
  <si>
    <t xml:space="preserve">                                       پوختەی ( كاری مانگانە / چاڵاكی مانگانە )ی سەرپەرشتیارانی پەروەردەیی / ناوەندی هەولێر  مانگی </t>
  </si>
  <si>
    <t xml:space="preserve">مانگی </t>
  </si>
  <si>
    <t xml:space="preserve">ساڵی </t>
  </si>
  <si>
    <t xml:space="preserve">         خشتەی کارو چالاکی مانگانە </t>
  </si>
  <si>
    <t>زنجیرە</t>
  </si>
  <si>
    <t>ناوی سەرپەرشتیارەکان:</t>
  </si>
  <si>
    <t>ساڵی خوێندن</t>
  </si>
  <si>
    <t>٢٠٢٥-٢٠٢٦</t>
  </si>
  <si>
    <t>چاڵاکی مانگی</t>
  </si>
  <si>
    <t>ناوی سەرپەرشتیار:</t>
  </si>
  <si>
    <t>بەروار</t>
  </si>
  <si>
    <t>واژوو</t>
  </si>
  <si>
    <t>پسپۆری</t>
  </si>
  <si>
    <t>#</t>
  </si>
  <si>
    <t>ژمارەی قوتابخانەکانی</t>
  </si>
  <si>
    <t>سەرۆک بەش</t>
  </si>
  <si>
    <t>خالد ابراهیم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</si>
</sst>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[$-2000401]0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Ali_K_Samik"/>
      <charset val="178"/>
    </font>
    <font>
      <sz val="8"/>
      <name val="Calibri"/>
      <family val="2"/>
      <scheme val="minor"/>
    </font>
    <font>
      <b/>
      <sz val="14"/>
      <color rgb="FF000000"/>
      <name val="Calibri"/>
      <family val="2"/>
    </font>
    <font>
      <sz val="11"/>
      <color theme="1"/>
      <name val="22_Sarchia_Baran"/>
      <family val="2"/>
    </font>
    <font>
      <sz val="14"/>
      <color theme="1"/>
      <name val="22_Sarchia_Baran"/>
      <family val="2"/>
    </font>
    <font>
      <sz val="10"/>
      <color theme="1"/>
      <name val="22_Sarchia_Baran"/>
      <family val="2"/>
    </font>
    <font>
      <sz val="11"/>
      <color rgb="FFFF0000"/>
      <name val="22_Sarchia_Baran"/>
      <family val="2"/>
    </font>
    <font>
      <b/>
      <sz val="16"/>
      <name val="Calibri"/>
      <family val="2"/>
      <scheme val="minor"/>
    </font>
    <font>
      <sz val="16"/>
      <name val="Arial"/>
      <family val="2"/>
    </font>
    <font>
      <sz val="16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3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</font>
    <font>
      <b/>
      <sz val="14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8"/>
      <name val="Arial"/>
      <family val="2"/>
    </font>
    <font>
      <b/>
      <sz val="14"/>
      <name val="Arial"/>
      <family val="2"/>
    </font>
    <font>
      <sz val="18"/>
      <color theme="1"/>
      <name val="22_Sarchia_Baran"/>
      <family val="2"/>
    </font>
    <font>
      <sz val="12"/>
      <color theme="1"/>
      <name val="22_Sarchia_Baran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8" fillId="0" borderId="0"/>
  </cellStyleXfs>
  <cellXfs count="115">
    <xf numFmtId="0" fontId="0" fillId="0" borderId="0" xfId="0"/>
    <xf numFmtId="0" fontId="3" fillId="0" borderId="0" xfId="0" applyFont="1" applyAlignment="1">
      <alignment vertical="center" readingOrder="2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/>
    <xf numFmtId="0" fontId="8" fillId="0" borderId="0" xfId="0" applyFont="1" applyAlignment="1">
      <alignment horizontal="center" vertical="center"/>
    </xf>
    <xf numFmtId="0" fontId="11" fillId="2" borderId="23" xfId="0" applyFont="1" applyFill="1" applyBorder="1" applyAlignment="1">
      <alignment horizontal="center" vertical="center" textRotation="90" readingOrder="2"/>
    </xf>
    <xf numFmtId="0" fontId="11" fillId="2" borderId="24" xfId="0" applyFont="1" applyFill="1" applyBorder="1" applyAlignment="1">
      <alignment horizontal="center" vertical="center" textRotation="90" readingOrder="2"/>
    </xf>
    <xf numFmtId="2" fontId="11" fillId="2" borderId="24" xfId="0" applyNumberFormat="1" applyFont="1" applyFill="1" applyBorder="1" applyAlignment="1">
      <alignment horizontal="center" vertical="center" textRotation="90" readingOrder="2"/>
    </xf>
    <xf numFmtId="0" fontId="11" fillId="2" borderId="25" xfId="0" applyFont="1" applyFill="1" applyBorder="1" applyAlignment="1">
      <alignment horizontal="center" vertical="center" textRotation="90" readingOrder="2"/>
    </xf>
    <xf numFmtId="0" fontId="11" fillId="2" borderId="1" xfId="0" applyFont="1" applyFill="1" applyBorder="1" applyAlignment="1">
      <alignment horizontal="center" vertical="center" readingOrder="2"/>
    </xf>
    <xf numFmtId="0" fontId="16" fillId="2" borderId="1" xfId="0" applyFont="1" applyFill="1" applyBorder="1" applyAlignment="1">
      <alignment horizontal="right" vertical="center" wrapText="1" readingOrder="2"/>
    </xf>
    <xf numFmtId="1" fontId="10" fillId="2" borderId="1" xfId="0" applyNumberFormat="1" applyFont="1" applyFill="1" applyBorder="1" applyAlignment="1">
      <alignment horizontal="center" vertical="center" readingOrder="2"/>
    </xf>
    <xf numFmtId="1" fontId="11" fillId="2" borderId="1" xfId="0" applyNumberFormat="1" applyFont="1" applyFill="1" applyBorder="1" applyAlignment="1">
      <alignment horizontal="center" vertical="center" readingOrder="2"/>
    </xf>
    <xf numFmtId="1" fontId="17" fillId="3" borderId="1" xfId="0" applyNumberFormat="1" applyFont="1" applyFill="1" applyBorder="1" applyAlignment="1">
      <alignment horizontal="center" vertical="center" readingOrder="2"/>
    </xf>
    <xf numFmtId="0" fontId="17" fillId="2" borderId="0" xfId="0" applyFont="1" applyFill="1" applyAlignment="1">
      <alignment horizontal="center" vertical="center" readingOrder="2"/>
    </xf>
    <xf numFmtId="1" fontId="17" fillId="2" borderId="0" xfId="0" applyNumberFormat="1" applyFont="1" applyFill="1" applyAlignment="1">
      <alignment horizontal="center" vertical="center" readingOrder="2"/>
    </xf>
    <xf numFmtId="0" fontId="0" fillId="2" borderId="0" xfId="0" applyFill="1"/>
    <xf numFmtId="0" fontId="11" fillId="2" borderId="0" xfId="0" applyFont="1" applyFill="1" applyAlignment="1">
      <alignment horizontal="center" vertical="center" readingOrder="2"/>
    </xf>
    <xf numFmtId="0" fontId="11" fillId="2" borderId="0" xfId="1" applyFont="1" applyFill="1" applyAlignment="1">
      <alignment horizontal="right" vertical="center"/>
    </xf>
    <xf numFmtId="0" fontId="5" fillId="0" borderId="0" xfId="0" applyFont="1" applyAlignment="1">
      <alignment vertical="center" wrapText="1" readingOrder="2"/>
    </xf>
    <xf numFmtId="0" fontId="5" fillId="0" borderId="5" xfId="0" applyFont="1" applyBorder="1" applyAlignment="1">
      <alignment horizontal="left" vertical="center" wrapText="1" readingOrder="2"/>
    </xf>
    <xf numFmtId="0" fontId="5" fillId="0" borderId="0" xfId="0" applyFont="1" applyAlignment="1">
      <alignment horizontal="left" vertical="center" wrapText="1" readingOrder="2"/>
    </xf>
    <xf numFmtId="0" fontId="21" fillId="2" borderId="4" xfId="0" applyFont="1" applyFill="1" applyBorder="1"/>
    <xf numFmtId="0" fontId="21" fillId="2" borderId="3" xfId="0" applyFont="1" applyFill="1" applyBorder="1"/>
    <xf numFmtId="0" fontId="21" fillId="2" borderId="0" xfId="0" applyFont="1" applyFill="1"/>
    <xf numFmtId="0" fontId="21" fillId="2" borderId="5" xfId="0" applyFont="1" applyFill="1" applyBorder="1"/>
    <xf numFmtId="0" fontId="21" fillId="2" borderId="6" xfId="0" applyFont="1" applyFill="1" applyBorder="1"/>
    <xf numFmtId="0" fontId="21" fillId="2" borderId="27" xfId="0" applyFont="1" applyFill="1" applyBorder="1"/>
    <xf numFmtId="0" fontId="21" fillId="2" borderId="26" xfId="0" applyFont="1" applyFill="1" applyBorder="1"/>
    <xf numFmtId="0" fontId="21" fillId="2" borderId="28" xfId="0" applyFont="1" applyFill="1" applyBorder="1"/>
    <xf numFmtId="165" fontId="21" fillId="2" borderId="5" xfId="0" applyNumberFormat="1" applyFont="1" applyFill="1" applyBorder="1"/>
    <xf numFmtId="0" fontId="21" fillId="2" borderId="5" xfId="0" applyFont="1" applyFill="1" applyBorder="1" applyAlignment="1">
      <alignment horizontal="right"/>
    </xf>
    <xf numFmtId="0" fontId="19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4" fillId="4" borderId="0" xfId="0" applyFont="1" applyFill="1"/>
    <xf numFmtId="0" fontId="5" fillId="5" borderId="1" xfId="0" applyFont="1" applyFill="1" applyBorder="1" applyAlignment="1">
      <alignment horizontal="center" vertical="center" wrapText="1" readingOrder="2"/>
    </xf>
    <xf numFmtId="0" fontId="5" fillId="5" borderId="1" xfId="0" applyFont="1" applyFill="1" applyBorder="1" applyAlignment="1">
      <alignment horizontal="right" vertical="center" wrapText="1" readingOrder="2"/>
    </xf>
    <xf numFmtId="164" fontId="5" fillId="5" borderId="1" xfId="0" applyNumberFormat="1" applyFont="1" applyFill="1" applyBorder="1" applyAlignment="1">
      <alignment horizontal="center" vertical="center" wrapText="1" readingOrder="2"/>
    </xf>
    <xf numFmtId="49" fontId="6" fillId="5" borderId="1" xfId="0" applyNumberFormat="1" applyFont="1" applyFill="1" applyBorder="1" applyAlignment="1">
      <alignment horizontal="center" vertical="center" wrapText="1"/>
    </xf>
    <xf numFmtId="165" fontId="4" fillId="5" borderId="1" xfId="0" applyNumberFormat="1" applyFont="1" applyFill="1" applyBorder="1" applyAlignment="1">
      <alignment horizontal="center" vertical="center" wrapText="1"/>
    </xf>
    <xf numFmtId="1" fontId="4" fillId="5" borderId="1" xfId="0" applyNumberFormat="1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 readingOrder="2"/>
    </xf>
    <xf numFmtId="165" fontId="7" fillId="5" borderId="1" xfId="0" applyNumberFormat="1" applyFont="1" applyFill="1" applyBorder="1" applyAlignment="1">
      <alignment horizontal="center" vertical="center" wrapText="1" readingOrder="2"/>
    </xf>
    <xf numFmtId="0" fontId="5" fillId="0" borderId="5" xfId="0" applyFont="1" applyFill="1" applyBorder="1" applyAlignment="1">
      <alignment horizontal="left" vertical="center" wrapText="1" readingOrder="2"/>
    </xf>
    <xf numFmtId="0" fontId="5" fillId="0" borderId="0" xfId="0" applyFont="1" applyFill="1" applyAlignment="1">
      <alignment vertical="center" wrapText="1" readingOrder="2"/>
    </xf>
    <xf numFmtId="0" fontId="5" fillId="0" borderId="0" xfId="0" applyFont="1" applyFill="1" applyAlignment="1">
      <alignment horizontal="left" vertical="center" wrapText="1" readingOrder="2"/>
    </xf>
    <xf numFmtId="0" fontId="3" fillId="0" borderId="0" xfId="0" applyFont="1" applyFill="1" applyAlignment="1">
      <alignment vertical="center" readingOrder="2"/>
    </xf>
    <xf numFmtId="0" fontId="21" fillId="2" borderId="1" xfId="0" applyFont="1" applyFill="1" applyBorder="1"/>
    <xf numFmtId="165" fontId="21" fillId="2" borderId="1" xfId="0" applyNumberFormat="1" applyFont="1" applyFill="1" applyBorder="1"/>
    <xf numFmtId="0" fontId="21" fillId="2" borderId="1" xfId="0" applyFont="1" applyFill="1" applyBorder="1" applyAlignment="1"/>
    <xf numFmtId="0" fontId="4" fillId="5" borderId="1" xfId="0" applyFont="1" applyFill="1" applyBorder="1" applyAlignment="1">
      <alignment horizontal="center" vertical="center" wrapText="1" readingOrder="2"/>
    </xf>
    <xf numFmtId="0" fontId="7" fillId="5" borderId="1" xfId="0" applyFont="1" applyFill="1" applyBorder="1" applyAlignment="1">
      <alignment horizontal="center" vertical="center" wrapText="1" readingOrder="2"/>
    </xf>
    <xf numFmtId="0" fontId="5" fillId="5" borderId="1" xfId="0" applyFont="1" applyFill="1" applyBorder="1" applyAlignment="1">
      <alignment horizontal="center" vertical="center" wrapText="1" readingOrder="2"/>
    </xf>
    <xf numFmtId="49" fontId="6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165" fontId="4" fillId="5" borderId="8" xfId="0" applyNumberFormat="1" applyFont="1" applyFill="1" applyBorder="1" applyAlignment="1">
      <alignment horizontal="center" vertical="center" wrapText="1"/>
    </xf>
    <xf numFmtId="165" fontId="4" fillId="5" borderId="9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5" fillId="0" borderId="3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5" fillId="0" borderId="0" xfId="0" applyFont="1" applyAlignment="1">
      <alignment horizontal="right" vertical="center" wrapText="1" readingOrder="2"/>
    </xf>
    <xf numFmtId="0" fontId="5" fillId="0" borderId="6" xfId="0" applyFont="1" applyBorder="1" applyAlignment="1">
      <alignment horizontal="right" vertical="center" wrapText="1" readingOrder="2"/>
    </xf>
    <xf numFmtId="0" fontId="5" fillId="0" borderId="0" xfId="0" applyFont="1" applyAlignment="1">
      <alignment horizontal="center" vertical="center" wrapText="1" readingOrder="2"/>
    </xf>
    <xf numFmtId="0" fontId="5" fillId="0" borderId="6" xfId="0" applyFont="1" applyBorder="1" applyAlignment="1">
      <alignment horizontal="center" vertical="center" wrapText="1" readingOrder="2"/>
    </xf>
    <xf numFmtId="0" fontId="4" fillId="5" borderId="1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 readingOrder="2"/>
    </xf>
    <xf numFmtId="0" fontId="5" fillId="5" borderId="10" xfId="0" applyFont="1" applyFill="1" applyBorder="1" applyAlignment="1">
      <alignment horizontal="center" vertical="center" wrapText="1" readingOrder="2"/>
    </xf>
    <xf numFmtId="0" fontId="5" fillId="5" borderId="9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5" fillId="0" borderId="26" xfId="0" applyFont="1" applyBorder="1" applyAlignment="1">
      <alignment horizontal="center" vertical="center" wrapText="1" readingOrder="2"/>
    </xf>
    <xf numFmtId="0" fontId="5" fillId="0" borderId="26" xfId="0" applyFont="1" applyFill="1" applyBorder="1" applyAlignment="1">
      <alignment horizontal="center" vertical="center" wrapText="1" readingOrder="2"/>
    </xf>
    <xf numFmtId="0" fontId="5" fillId="0" borderId="0" xfId="0" applyFont="1" applyFill="1" applyAlignment="1">
      <alignment horizontal="center" vertical="center" wrapText="1" readingOrder="2"/>
    </xf>
    <xf numFmtId="0" fontId="5" fillId="0" borderId="6" xfId="0" applyFont="1" applyFill="1" applyBorder="1" applyAlignment="1">
      <alignment horizontal="center" vertical="center" wrapText="1" readingOrder="2"/>
    </xf>
    <xf numFmtId="0" fontId="8" fillId="0" borderId="0" xfId="0" applyFont="1" applyAlignment="1">
      <alignment horizontal="right"/>
    </xf>
    <xf numFmtId="0" fontId="10" fillId="2" borderId="11" xfId="0" applyFont="1" applyFill="1" applyBorder="1" applyAlignment="1">
      <alignment horizontal="center" vertical="center" readingOrder="2"/>
    </xf>
    <xf numFmtId="0" fontId="10" fillId="2" borderId="14" xfId="0" applyFont="1" applyFill="1" applyBorder="1" applyAlignment="1">
      <alignment horizontal="center" vertical="center" readingOrder="2"/>
    </xf>
    <xf numFmtId="0" fontId="11" fillId="2" borderId="11" xfId="0" applyFont="1" applyFill="1" applyBorder="1" applyAlignment="1">
      <alignment horizontal="center" vertical="center" textRotation="91" readingOrder="2"/>
    </xf>
    <xf numFmtId="0" fontId="11" fillId="2" borderId="14" xfId="0" applyFont="1" applyFill="1" applyBorder="1" applyAlignment="1">
      <alignment horizontal="center" vertical="center" textRotation="91" readingOrder="2"/>
    </xf>
    <xf numFmtId="0" fontId="11" fillId="2" borderId="12" xfId="0" applyFont="1" applyFill="1" applyBorder="1" applyAlignment="1">
      <alignment horizontal="center" vertical="center" readingOrder="2"/>
    </xf>
    <xf numFmtId="0" fontId="11" fillId="2" borderId="13" xfId="0" applyFont="1" applyFill="1" applyBorder="1" applyAlignment="1">
      <alignment horizontal="center" vertical="center" readingOrder="2"/>
    </xf>
    <xf numFmtId="0" fontId="11" fillId="2" borderId="8" xfId="0" applyFont="1" applyFill="1" applyBorder="1" applyAlignment="1">
      <alignment horizontal="center" vertical="center" readingOrder="2"/>
    </xf>
    <xf numFmtId="0" fontId="11" fillId="2" borderId="10" xfId="0" applyFont="1" applyFill="1" applyBorder="1" applyAlignment="1">
      <alignment horizontal="center" vertical="center" readingOrder="2"/>
    </xf>
    <xf numFmtId="0" fontId="11" fillId="2" borderId="9" xfId="0" applyFont="1" applyFill="1" applyBorder="1" applyAlignment="1">
      <alignment horizontal="center" vertical="center" readingOrder="2"/>
    </xf>
    <xf numFmtId="0" fontId="12" fillId="2" borderId="15" xfId="0" applyFont="1" applyFill="1" applyBorder="1" applyAlignment="1">
      <alignment horizontal="center" vertical="center" readingOrder="2"/>
    </xf>
    <xf numFmtId="0" fontId="12" fillId="2" borderId="16" xfId="0" applyFont="1" applyFill="1" applyBorder="1" applyAlignment="1">
      <alignment horizontal="center" vertical="center" readingOrder="2"/>
    </xf>
    <xf numFmtId="0" fontId="13" fillId="2" borderId="17" xfId="0" applyFont="1" applyFill="1" applyBorder="1" applyAlignment="1">
      <alignment horizontal="center" vertical="center" readingOrder="2"/>
    </xf>
    <xf numFmtId="0" fontId="13" fillId="2" borderId="15" xfId="0" applyFont="1" applyFill="1" applyBorder="1" applyAlignment="1">
      <alignment horizontal="center" vertical="center" readingOrder="2"/>
    </xf>
    <xf numFmtId="0" fontId="13" fillId="2" borderId="16" xfId="0" applyFont="1" applyFill="1" applyBorder="1" applyAlignment="1">
      <alignment horizontal="center" vertical="center" readingOrder="2"/>
    </xf>
    <xf numFmtId="0" fontId="12" fillId="2" borderId="17" xfId="0" applyFont="1" applyFill="1" applyBorder="1" applyAlignment="1">
      <alignment horizontal="center" vertical="center" readingOrder="2"/>
    </xf>
    <xf numFmtId="0" fontId="14" fillId="2" borderId="14" xfId="0" applyFont="1" applyFill="1" applyBorder="1" applyAlignment="1">
      <alignment horizontal="center" vertical="center" textRotation="90" readingOrder="2"/>
    </xf>
    <xf numFmtId="0" fontId="14" fillId="2" borderId="14" xfId="0" applyFont="1" applyFill="1" applyBorder="1" applyAlignment="1">
      <alignment horizontal="center" vertical="center" textRotation="90"/>
    </xf>
    <xf numFmtId="0" fontId="17" fillId="3" borderId="8" xfId="0" applyFont="1" applyFill="1" applyBorder="1" applyAlignment="1">
      <alignment horizontal="center" vertical="center" readingOrder="2"/>
    </xf>
    <xf numFmtId="0" fontId="17" fillId="3" borderId="10" xfId="0" applyFont="1" applyFill="1" applyBorder="1" applyAlignment="1">
      <alignment horizontal="center" vertical="center" readingOrder="2"/>
    </xf>
    <xf numFmtId="0" fontId="17" fillId="3" borderId="9" xfId="0" applyFont="1" applyFill="1" applyBorder="1" applyAlignment="1">
      <alignment horizontal="center" vertical="center" readingOrder="2"/>
    </xf>
    <xf numFmtId="0" fontId="2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6" xfId="0" applyFont="1" applyBorder="1" applyAlignment="1">
      <alignment horizontal="right" vertical="center"/>
    </xf>
    <xf numFmtId="0" fontId="12" fillId="2" borderId="0" xfId="0" applyFont="1" applyFill="1" applyAlignment="1">
      <alignment horizontal="center" vertical="center" readingOrder="2"/>
    </xf>
    <xf numFmtId="0" fontId="12" fillId="2" borderId="18" xfId="0" applyFont="1" applyFill="1" applyBorder="1" applyAlignment="1">
      <alignment horizontal="center" vertical="center" readingOrder="2"/>
    </xf>
    <xf numFmtId="0" fontId="13" fillId="2" borderId="19" xfId="0" applyFont="1" applyFill="1" applyBorder="1" applyAlignment="1">
      <alignment horizontal="center" vertical="center" readingOrder="2"/>
    </xf>
    <xf numFmtId="0" fontId="13" fillId="2" borderId="0" xfId="0" applyFont="1" applyFill="1" applyAlignment="1">
      <alignment horizontal="center" vertical="center" readingOrder="2"/>
    </xf>
    <xf numFmtId="0" fontId="13" fillId="2" borderId="18" xfId="0" applyFont="1" applyFill="1" applyBorder="1" applyAlignment="1">
      <alignment horizontal="center" vertical="center" readingOrder="2"/>
    </xf>
    <xf numFmtId="0" fontId="12" fillId="2" borderId="19" xfId="0" applyFont="1" applyFill="1" applyBorder="1" applyAlignment="1">
      <alignment horizontal="center" vertical="center" readingOrder="2"/>
    </xf>
    <xf numFmtId="0" fontId="12" fillId="2" borderId="20" xfId="0" applyFont="1" applyFill="1" applyBorder="1" applyAlignment="1">
      <alignment horizontal="center" vertical="center" readingOrder="2"/>
    </xf>
    <xf numFmtId="0" fontId="12" fillId="2" borderId="21" xfId="0" applyFont="1" applyFill="1" applyBorder="1" applyAlignment="1">
      <alignment horizontal="center" vertical="center" readingOrder="2"/>
    </xf>
    <xf numFmtId="0" fontId="13" fillId="2" borderId="22" xfId="0" applyFont="1" applyFill="1" applyBorder="1" applyAlignment="1">
      <alignment horizontal="center" vertical="center" readingOrder="2"/>
    </xf>
    <xf numFmtId="0" fontId="13" fillId="2" borderId="20" xfId="0" applyFont="1" applyFill="1" applyBorder="1" applyAlignment="1">
      <alignment horizontal="center" vertical="center" readingOrder="2"/>
    </xf>
    <xf numFmtId="0" fontId="13" fillId="2" borderId="21" xfId="0" applyFont="1" applyFill="1" applyBorder="1" applyAlignment="1">
      <alignment horizontal="center" vertical="center" readingOrder="2"/>
    </xf>
    <xf numFmtId="0" fontId="12" fillId="2" borderId="22" xfId="0" applyFont="1" applyFill="1" applyBorder="1" applyAlignment="1">
      <alignment horizontal="center" vertical="center" readingOrder="2"/>
    </xf>
    <xf numFmtId="0" fontId="15" fillId="2" borderId="14" xfId="0" applyFont="1" applyFill="1" applyBorder="1" applyAlignment="1">
      <alignment horizontal="center" vertical="center" textRotation="90" readingOrder="2"/>
    </xf>
  </cellXfs>
  <cellStyles count="2">
    <cellStyle name="Normal" xfId="0" builtinId="0"/>
    <cellStyle name="Normal 2 2 2" xfId="1" xr:uid="{B37A492E-100B-42A4-B8C7-82F9329A46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1897658</xdr:colOff>
      <xdr:row>38</xdr:row>
      <xdr:rowOff>158208</xdr:rowOff>
    </xdr:from>
    <xdr:to>
      <xdr:col>9</xdr:col>
      <xdr:colOff>563509</xdr:colOff>
      <xdr:row>53</xdr:row>
      <xdr:rowOff>5530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E824F2-0030-498D-BB6B-F4C2C01C7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07473054" y="11516771"/>
          <a:ext cx="2245663" cy="32048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84E46-E007-4243-8EDE-ED2D65AC73C4}">
  <sheetPr>
    <pageSetUpPr fitToPage="1"/>
  </sheetPr>
  <dimension ref="A1:J43"/>
  <sheetViews>
    <sheetView rightToLeft="1" tabSelected="1" view="pageBreakPreview" zoomScale="82" zoomScaleNormal="72" zoomScaleSheetLayoutView="82" workbookViewId="0">
      <selection activeCell="E7" sqref="E7"/>
    </sheetView>
  </sheetViews>
  <sheetFormatPr defaultRowHeight="27.5" x14ac:dyDescent="0.95"/>
  <cols>
    <col min="1" max="1" width="3.26953125" style="26" bestFit="1" customWidth="1"/>
    <col min="2" max="2" width="27.1796875" style="26" bestFit="1" customWidth="1"/>
    <col min="3" max="3" width="18.08984375" style="26" customWidth="1"/>
    <col min="4" max="4" width="25.36328125" style="26" bestFit="1" customWidth="1"/>
    <col min="5" max="16384" width="8.7265625" style="26"/>
  </cols>
  <sheetData>
    <row r="1" spans="1:10" x14ac:dyDescent="0.95">
      <c r="B1" s="26" t="s">
        <v>95</v>
      </c>
      <c r="C1" s="27" t="s">
        <v>89</v>
      </c>
      <c r="D1" s="27" t="s">
        <v>91</v>
      </c>
      <c r="E1" s="24"/>
      <c r="F1" s="27" t="s">
        <v>98</v>
      </c>
      <c r="G1" s="24"/>
      <c r="H1" s="24"/>
      <c r="I1" s="24"/>
      <c r="J1" s="25"/>
    </row>
    <row r="2" spans="1:10" x14ac:dyDescent="0.95">
      <c r="B2" s="26" t="s">
        <v>76</v>
      </c>
      <c r="C2" s="33" t="s">
        <v>90</v>
      </c>
      <c r="D2" s="32">
        <v>6</v>
      </c>
      <c r="F2" s="32" t="s">
        <v>99</v>
      </c>
      <c r="J2" s="28"/>
    </row>
    <row r="3" spans="1:10" x14ac:dyDescent="0.95">
      <c r="J3" s="28"/>
    </row>
    <row r="4" spans="1:10" x14ac:dyDescent="0.95">
      <c r="A4" s="50" t="s">
        <v>96</v>
      </c>
      <c r="B4" s="52" t="s">
        <v>88</v>
      </c>
      <c r="C4" s="52" t="s">
        <v>87</v>
      </c>
      <c r="D4" s="50" t="s">
        <v>97</v>
      </c>
      <c r="J4" s="28"/>
    </row>
    <row r="5" spans="1:10" x14ac:dyDescent="0.95">
      <c r="A5" s="50">
        <v>1</v>
      </c>
      <c r="B5" s="50" t="s">
        <v>75</v>
      </c>
      <c r="C5" s="51">
        <v>100</v>
      </c>
      <c r="D5" s="51">
        <v>5</v>
      </c>
      <c r="J5" s="28"/>
    </row>
    <row r="6" spans="1:10" x14ac:dyDescent="0.95">
      <c r="A6" s="50">
        <v>2</v>
      </c>
      <c r="B6" s="50" t="s">
        <v>77</v>
      </c>
      <c r="C6" s="51">
        <v>101</v>
      </c>
      <c r="D6" s="51">
        <v>4</v>
      </c>
      <c r="J6" s="28"/>
    </row>
    <row r="7" spans="1:10" x14ac:dyDescent="0.95">
      <c r="A7" s="50">
        <v>3</v>
      </c>
      <c r="B7" s="50" t="s">
        <v>78</v>
      </c>
      <c r="C7" s="51">
        <v>102</v>
      </c>
      <c r="D7" s="51">
        <v>3</v>
      </c>
      <c r="J7" s="28"/>
    </row>
    <row r="8" spans="1:10" x14ac:dyDescent="0.95">
      <c r="A8" s="50">
        <v>5</v>
      </c>
      <c r="B8" s="50" t="s">
        <v>79</v>
      </c>
      <c r="C8" s="51">
        <v>103</v>
      </c>
      <c r="D8" s="51">
        <v>5</v>
      </c>
      <c r="J8" s="28"/>
    </row>
    <row r="9" spans="1:10" x14ac:dyDescent="0.95">
      <c r="A9" s="27"/>
      <c r="J9" s="28"/>
    </row>
    <row r="10" spans="1:10" x14ac:dyDescent="0.95">
      <c r="J10" s="28"/>
    </row>
    <row r="11" spans="1:10" x14ac:dyDescent="0.95">
      <c r="J11" s="28"/>
    </row>
    <row r="12" spans="1:10" x14ac:dyDescent="0.95">
      <c r="J12" s="28"/>
    </row>
    <row r="13" spans="1:10" x14ac:dyDescent="0.95">
      <c r="J13" s="28"/>
    </row>
    <row r="14" spans="1:10" x14ac:dyDescent="0.95">
      <c r="J14" s="28"/>
    </row>
    <row r="15" spans="1:10" x14ac:dyDescent="0.95">
      <c r="J15" s="28"/>
    </row>
    <row r="16" spans="1:10" x14ac:dyDescent="0.95">
      <c r="J16" s="28"/>
    </row>
    <row r="17" spans="1:10" x14ac:dyDescent="0.95">
      <c r="A17" s="27"/>
      <c r="J17" s="28"/>
    </row>
    <row r="18" spans="1:10" x14ac:dyDescent="0.95">
      <c r="A18" s="27"/>
      <c r="J18" s="28"/>
    </row>
    <row r="19" spans="1:10" x14ac:dyDescent="0.95">
      <c r="A19" s="27"/>
      <c r="J19" s="28"/>
    </row>
    <row r="20" spans="1:10" x14ac:dyDescent="0.95">
      <c r="A20" s="27"/>
      <c r="J20" s="28"/>
    </row>
    <row r="21" spans="1:10" x14ac:dyDescent="0.95">
      <c r="A21" s="27"/>
      <c r="J21" s="28"/>
    </row>
    <row r="22" spans="1:10" x14ac:dyDescent="0.95">
      <c r="A22" s="27"/>
      <c r="J22" s="28"/>
    </row>
    <row r="23" spans="1:10" x14ac:dyDescent="0.95">
      <c r="A23" s="27"/>
      <c r="J23" s="28"/>
    </row>
    <row r="24" spans="1:10" x14ac:dyDescent="0.95">
      <c r="A24" s="27"/>
      <c r="J24" s="28"/>
    </row>
    <row r="25" spans="1:10" x14ac:dyDescent="0.95">
      <c r="A25" s="27"/>
      <c r="J25" s="28"/>
    </row>
    <row r="26" spans="1:10" x14ac:dyDescent="0.95">
      <c r="A26" s="27"/>
      <c r="J26" s="28"/>
    </row>
    <row r="27" spans="1:10" x14ac:dyDescent="0.95">
      <c r="A27" s="27"/>
      <c r="J27" s="28"/>
    </row>
    <row r="28" spans="1:10" x14ac:dyDescent="0.95">
      <c r="A28" s="27"/>
      <c r="J28" s="28"/>
    </row>
    <row r="29" spans="1:10" x14ac:dyDescent="0.95">
      <c r="A29" s="27"/>
      <c r="J29" s="28"/>
    </row>
    <row r="30" spans="1:10" x14ac:dyDescent="0.95">
      <c r="A30" s="27"/>
      <c r="J30" s="28"/>
    </row>
    <row r="31" spans="1:10" x14ac:dyDescent="0.95">
      <c r="A31" s="27"/>
      <c r="J31" s="28"/>
    </row>
    <row r="32" spans="1:10" x14ac:dyDescent="0.95">
      <c r="A32" s="27"/>
      <c r="J32" s="28"/>
    </row>
    <row r="33" spans="1:10" x14ac:dyDescent="0.95">
      <c r="A33" s="27"/>
      <c r="J33" s="28"/>
    </row>
    <row r="34" spans="1:10" x14ac:dyDescent="0.95">
      <c r="A34" s="27"/>
      <c r="J34" s="28"/>
    </row>
    <row r="35" spans="1:10" x14ac:dyDescent="0.95">
      <c r="A35" s="27"/>
      <c r="J35" s="28"/>
    </row>
    <row r="36" spans="1:10" x14ac:dyDescent="0.95">
      <c r="A36" s="27"/>
      <c r="J36" s="28"/>
    </row>
    <row r="37" spans="1:10" x14ac:dyDescent="0.95">
      <c r="A37" s="27"/>
      <c r="J37" s="28"/>
    </row>
    <row r="38" spans="1:10" x14ac:dyDescent="0.95">
      <c r="A38" s="27"/>
      <c r="J38" s="28"/>
    </row>
    <row r="39" spans="1:10" x14ac:dyDescent="0.95">
      <c r="A39" s="27"/>
      <c r="J39" s="28"/>
    </row>
    <row r="40" spans="1:10" x14ac:dyDescent="0.95">
      <c r="A40" s="27"/>
      <c r="J40" s="28"/>
    </row>
    <row r="41" spans="1:10" x14ac:dyDescent="0.95">
      <c r="A41" s="27"/>
      <c r="J41" s="28"/>
    </row>
    <row r="42" spans="1:10" x14ac:dyDescent="0.95">
      <c r="A42" s="27"/>
      <c r="J42" s="28"/>
    </row>
    <row r="43" spans="1:10" x14ac:dyDescent="0.95">
      <c r="A43" s="29"/>
      <c r="B43" s="30"/>
      <c r="C43" s="30"/>
      <c r="D43" s="30"/>
      <c r="E43" s="30"/>
      <c r="F43" s="30"/>
      <c r="G43" s="30"/>
      <c r="H43" s="30"/>
      <c r="I43" s="30"/>
      <c r="J43" s="31"/>
    </row>
  </sheetData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7BFE-AE16-4A8F-8D1F-FD263B388082}">
  <dimension ref="A1:Y42"/>
  <sheetViews>
    <sheetView rightToLeft="1" view="pageBreakPreview" zoomScale="98" zoomScaleNormal="67" zoomScaleSheetLayoutView="44" workbookViewId="0">
      <selection sqref="A1:L1"/>
    </sheetView>
  </sheetViews>
  <sheetFormatPr defaultRowHeight="14.5" x14ac:dyDescent="0.35"/>
  <cols>
    <col min="1" max="1" width="15.08984375" bestFit="1" customWidth="1"/>
    <col min="2" max="2" width="17.08984375" customWidth="1"/>
    <col min="4" max="4" width="8.7265625" customWidth="1"/>
    <col min="6" max="6" width="27.7265625" customWidth="1"/>
    <col min="7" max="7" width="9.7265625" customWidth="1"/>
    <col min="9" max="9" width="5" customWidth="1"/>
    <col min="12" max="12" width="6.453125" customWidth="1"/>
  </cols>
  <sheetData>
    <row r="1" spans="1:25" ht="21.5" customHeight="1" x14ac:dyDescent="0.35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</row>
    <row r="2" spans="1:25" ht="21.5" customHeight="1" x14ac:dyDescent="0.35">
      <c r="A2" s="63" t="s">
        <v>15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5"/>
    </row>
    <row r="3" spans="1:25" s="1" customFormat="1" ht="21.5" customHeight="1" x14ac:dyDescent="0.35">
      <c r="A3" s="22" t="s">
        <v>84</v>
      </c>
      <c r="B3" s="21">
        <f>سەرەتا!D2</f>
        <v>6</v>
      </c>
      <c r="C3" s="23" t="s">
        <v>85</v>
      </c>
      <c r="D3" s="21" t="str">
        <f>سەرەتا!C2</f>
        <v>٢٠٢٥-٢٠٢٦</v>
      </c>
      <c r="E3" s="74" t="s">
        <v>86</v>
      </c>
      <c r="F3" s="74"/>
      <c r="G3" s="74"/>
      <c r="H3" s="23" t="s">
        <v>87</v>
      </c>
      <c r="I3" s="74">
        <f>سەرەتا!C5</f>
        <v>100</v>
      </c>
      <c r="J3" s="74"/>
      <c r="K3" s="66"/>
      <c r="L3" s="67"/>
    </row>
    <row r="4" spans="1:25" ht="21.5" customHeight="1" x14ac:dyDescent="0.35">
      <c r="A4" s="38" t="s">
        <v>1</v>
      </c>
      <c r="B4" s="38" t="s">
        <v>2</v>
      </c>
      <c r="C4" s="55" t="s">
        <v>3</v>
      </c>
      <c r="D4" s="55"/>
      <c r="E4" s="55"/>
      <c r="F4" s="55"/>
      <c r="G4" s="55"/>
      <c r="H4" s="55"/>
      <c r="I4" s="55"/>
      <c r="J4" s="55"/>
      <c r="K4" s="55"/>
      <c r="L4" s="55"/>
    </row>
    <row r="5" spans="1:25" ht="21.5" customHeight="1" x14ac:dyDescent="0.35">
      <c r="A5" s="39" t="s">
        <v>17</v>
      </c>
      <c r="B5" s="40">
        <v>46054</v>
      </c>
      <c r="C5" s="55" t="s">
        <v>23</v>
      </c>
      <c r="D5" s="55"/>
      <c r="E5" s="55"/>
      <c r="F5" s="55"/>
      <c r="G5" s="55"/>
      <c r="H5" s="55"/>
      <c r="I5" s="55"/>
      <c r="J5" s="55"/>
      <c r="K5" s="55"/>
      <c r="L5" s="55"/>
    </row>
    <row r="6" spans="1:25" ht="21.5" customHeight="1" x14ac:dyDescent="0.35">
      <c r="A6" s="39" t="s">
        <v>18</v>
      </c>
      <c r="B6" s="40">
        <v>46055</v>
      </c>
      <c r="C6" s="55" t="s">
        <v>28</v>
      </c>
      <c r="D6" s="55"/>
      <c r="E6" s="55"/>
      <c r="F6" s="55"/>
      <c r="G6" s="55"/>
      <c r="H6" s="55"/>
      <c r="I6" s="55"/>
      <c r="J6" s="55"/>
      <c r="K6" s="55"/>
      <c r="L6" s="55"/>
    </row>
    <row r="7" spans="1:25" ht="21.5" customHeight="1" x14ac:dyDescent="0.35">
      <c r="A7" s="39" t="s">
        <v>19</v>
      </c>
      <c r="B7" s="40">
        <v>46056</v>
      </c>
      <c r="C7" s="55" t="s">
        <v>28</v>
      </c>
      <c r="D7" s="55"/>
      <c r="E7" s="55"/>
      <c r="F7" s="55"/>
      <c r="G7" s="55"/>
      <c r="H7" s="55"/>
      <c r="I7" s="55"/>
      <c r="J7" s="55"/>
      <c r="K7" s="55"/>
      <c r="L7" s="55"/>
    </row>
    <row r="8" spans="1:25" ht="21.5" customHeight="1" x14ac:dyDescent="0.35">
      <c r="A8" s="39" t="s">
        <v>20</v>
      </c>
      <c r="B8" s="40">
        <v>46057</v>
      </c>
      <c r="C8" s="70" t="s">
        <v>41</v>
      </c>
      <c r="D8" s="71"/>
      <c r="E8" s="71"/>
      <c r="F8" s="71"/>
      <c r="G8" s="71"/>
      <c r="H8" s="71"/>
      <c r="I8" s="71"/>
      <c r="J8" s="71"/>
      <c r="K8" s="71"/>
      <c r="L8" s="72"/>
      <c r="P8" s="73"/>
      <c r="Q8" s="73"/>
      <c r="R8" s="73"/>
      <c r="S8" s="73"/>
      <c r="T8" s="73"/>
      <c r="U8" s="73"/>
      <c r="V8" s="73"/>
      <c r="W8" s="73"/>
      <c r="X8" s="73"/>
      <c r="Y8" s="73"/>
    </row>
    <row r="9" spans="1:25" ht="21.5" customHeight="1" x14ac:dyDescent="0.35">
      <c r="A9" s="39" t="s">
        <v>22</v>
      </c>
      <c r="B9" s="40">
        <v>46058</v>
      </c>
      <c r="C9" s="70" t="s">
        <v>42</v>
      </c>
      <c r="D9" s="71"/>
      <c r="E9" s="71"/>
      <c r="F9" s="71"/>
      <c r="G9" s="71"/>
      <c r="H9" s="71"/>
      <c r="I9" s="71"/>
      <c r="J9" s="71"/>
      <c r="K9" s="71"/>
      <c r="L9" s="72"/>
    </row>
    <row r="10" spans="1:25" ht="21.5" customHeight="1" x14ac:dyDescent="0.35">
      <c r="A10" s="39" t="s">
        <v>21</v>
      </c>
      <c r="B10" s="40">
        <v>46059</v>
      </c>
      <c r="C10" s="70" t="s">
        <v>43</v>
      </c>
      <c r="D10" s="71"/>
      <c r="E10" s="71"/>
      <c r="F10" s="71"/>
      <c r="G10" s="71"/>
      <c r="H10" s="71"/>
      <c r="I10" s="71"/>
      <c r="J10" s="71"/>
      <c r="K10" s="71"/>
      <c r="L10" s="72"/>
    </row>
    <row r="11" spans="1:25" ht="21.5" customHeight="1" x14ac:dyDescent="0.35">
      <c r="A11" s="39" t="s">
        <v>16</v>
      </c>
      <c r="B11" s="40">
        <v>46060</v>
      </c>
      <c r="C11" s="55" t="s">
        <v>23</v>
      </c>
      <c r="D11" s="55"/>
      <c r="E11" s="55"/>
      <c r="F11" s="55"/>
      <c r="G11" s="55"/>
      <c r="H11" s="55"/>
      <c r="I11" s="55"/>
      <c r="J11" s="55"/>
      <c r="K11" s="55"/>
      <c r="L11" s="55"/>
    </row>
    <row r="12" spans="1:25" ht="21.5" customHeight="1" x14ac:dyDescent="0.35">
      <c r="A12" s="39" t="s">
        <v>17</v>
      </c>
      <c r="B12" s="40">
        <v>46061</v>
      </c>
      <c r="C12" s="55" t="s">
        <v>28</v>
      </c>
      <c r="D12" s="55"/>
      <c r="E12" s="55"/>
      <c r="F12" s="55"/>
      <c r="G12" s="55"/>
      <c r="H12" s="55"/>
      <c r="I12" s="55"/>
      <c r="J12" s="55"/>
      <c r="K12" s="55"/>
      <c r="L12" s="55"/>
    </row>
    <row r="13" spans="1:25" ht="21.5" customHeight="1" x14ac:dyDescent="0.35">
      <c r="A13" s="39" t="s">
        <v>18</v>
      </c>
      <c r="B13" s="40">
        <v>46062</v>
      </c>
      <c r="C13" s="55" t="s">
        <v>28</v>
      </c>
      <c r="D13" s="55"/>
      <c r="E13" s="55"/>
      <c r="F13" s="55"/>
      <c r="G13" s="55"/>
      <c r="H13" s="55"/>
      <c r="I13" s="55"/>
      <c r="J13" s="55"/>
      <c r="K13" s="55"/>
      <c r="L13" s="55"/>
    </row>
    <row r="14" spans="1:25" ht="21.5" customHeight="1" x14ac:dyDescent="0.35">
      <c r="A14" s="39" t="s">
        <v>19</v>
      </c>
      <c r="B14" s="40">
        <v>46063</v>
      </c>
      <c r="C14" s="55" t="s">
        <v>28</v>
      </c>
      <c r="D14" s="55"/>
      <c r="E14" s="55"/>
      <c r="F14" s="55"/>
      <c r="G14" s="55"/>
      <c r="H14" s="55"/>
      <c r="I14" s="55"/>
      <c r="J14" s="55"/>
      <c r="K14" s="55"/>
      <c r="L14" s="55"/>
    </row>
    <row r="15" spans="1:25" ht="21.5" customHeight="1" x14ac:dyDescent="0.35">
      <c r="A15" s="39" t="s">
        <v>20</v>
      </c>
      <c r="B15" s="40">
        <v>46064</v>
      </c>
      <c r="C15" s="55" t="s">
        <v>44</v>
      </c>
      <c r="D15" s="55"/>
      <c r="E15" s="55"/>
      <c r="F15" s="55"/>
      <c r="G15" s="55"/>
      <c r="H15" s="55"/>
      <c r="I15" s="55"/>
      <c r="J15" s="55"/>
      <c r="K15" s="55"/>
      <c r="L15" s="55"/>
    </row>
    <row r="16" spans="1:25" ht="21.5" customHeight="1" x14ac:dyDescent="0.35">
      <c r="A16" s="39" t="s">
        <v>22</v>
      </c>
      <c r="B16" s="40">
        <v>46065</v>
      </c>
      <c r="C16" s="55" t="s">
        <v>45</v>
      </c>
      <c r="D16" s="55"/>
      <c r="E16" s="55"/>
      <c r="F16" s="55"/>
      <c r="G16" s="55"/>
      <c r="H16" s="55"/>
      <c r="I16" s="55"/>
      <c r="J16" s="55"/>
      <c r="K16" s="55"/>
      <c r="L16" s="55"/>
    </row>
    <row r="17" spans="1:12" ht="21.5" customHeight="1" x14ac:dyDescent="0.35">
      <c r="A17" s="39" t="s">
        <v>21</v>
      </c>
      <c r="B17" s="40">
        <v>46066</v>
      </c>
      <c r="C17" s="55" t="s">
        <v>23</v>
      </c>
      <c r="D17" s="55"/>
      <c r="E17" s="55"/>
      <c r="F17" s="55"/>
      <c r="G17" s="55"/>
      <c r="H17" s="55"/>
      <c r="I17" s="55"/>
      <c r="J17" s="55"/>
      <c r="K17" s="55"/>
      <c r="L17" s="55"/>
    </row>
    <row r="18" spans="1:12" ht="21.5" customHeight="1" x14ac:dyDescent="0.35">
      <c r="A18" s="39" t="s">
        <v>16</v>
      </c>
      <c r="B18" s="40">
        <v>46067</v>
      </c>
      <c r="C18" s="55" t="s">
        <v>23</v>
      </c>
      <c r="D18" s="55"/>
      <c r="E18" s="55"/>
      <c r="F18" s="55"/>
      <c r="G18" s="55"/>
      <c r="H18" s="55"/>
      <c r="I18" s="55"/>
      <c r="J18" s="55"/>
      <c r="K18" s="55"/>
      <c r="L18" s="55"/>
    </row>
    <row r="19" spans="1:12" ht="21.5" customHeight="1" x14ac:dyDescent="0.35">
      <c r="A19" s="39" t="s">
        <v>17</v>
      </c>
      <c r="B19" s="40">
        <v>46068</v>
      </c>
      <c r="C19" s="55" t="s">
        <v>23</v>
      </c>
      <c r="D19" s="55"/>
      <c r="E19" s="55"/>
      <c r="F19" s="55"/>
      <c r="G19" s="55"/>
      <c r="H19" s="55"/>
      <c r="I19" s="55"/>
      <c r="J19" s="55"/>
      <c r="K19" s="55"/>
      <c r="L19" s="55"/>
    </row>
    <row r="20" spans="1:12" ht="21.5" customHeight="1" x14ac:dyDescent="0.35">
      <c r="A20" s="39" t="s">
        <v>18</v>
      </c>
      <c r="B20" s="40">
        <v>46069</v>
      </c>
      <c r="C20" s="55" t="s">
        <v>28</v>
      </c>
      <c r="D20" s="55"/>
      <c r="E20" s="55"/>
      <c r="F20" s="55"/>
      <c r="G20" s="55"/>
      <c r="H20" s="55"/>
      <c r="I20" s="55"/>
      <c r="J20" s="55"/>
      <c r="K20" s="55"/>
      <c r="L20" s="55"/>
    </row>
    <row r="21" spans="1:12" ht="21.5" customHeight="1" x14ac:dyDescent="0.35">
      <c r="A21" s="39" t="s">
        <v>19</v>
      </c>
      <c r="B21" s="40">
        <v>46070</v>
      </c>
      <c r="C21" s="55" t="s">
        <v>28</v>
      </c>
      <c r="D21" s="55"/>
      <c r="E21" s="55"/>
      <c r="F21" s="55"/>
      <c r="G21" s="55"/>
      <c r="H21" s="55"/>
      <c r="I21" s="55"/>
      <c r="J21" s="55"/>
      <c r="K21" s="55"/>
      <c r="L21" s="55"/>
    </row>
    <row r="22" spans="1:12" ht="21.5" customHeight="1" x14ac:dyDescent="0.35">
      <c r="A22" s="39" t="s">
        <v>20</v>
      </c>
      <c r="B22" s="40">
        <v>46071</v>
      </c>
      <c r="C22" s="55" t="s">
        <v>23</v>
      </c>
      <c r="D22" s="55"/>
      <c r="E22" s="55"/>
      <c r="F22" s="55"/>
      <c r="G22" s="55"/>
      <c r="H22" s="55"/>
      <c r="I22" s="55"/>
      <c r="J22" s="55"/>
      <c r="K22" s="55"/>
      <c r="L22" s="55"/>
    </row>
    <row r="23" spans="1:12" ht="21.5" customHeight="1" x14ac:dyDescent="0.35">
      <c r="A23" s="39" t="s">
        <v>22</v>
      </c>
      <c r="B23" s="40">
        <v>46072</v>
      </c>
      <c r="C23" s="55" t="s">
        <v>23</v>
      </c>
      <c r="D23" s="55"/>
      <c r="E23" s="55"/>
      <c r="F23" s="55"/>
      <c r="G23" s="55"/>
      <c r="H23" s="55"/>
      <c r="I23" s="55"/>
      <c r="J23" s="55"/>
      <c r="K23" s="55"/>
      <c r="L23" s="55"/>
    </row>
    <row r="24" spans="1:12" ht="21.5" x14ac:dyDescent="0.35">
      <c r="A24" s="39" t="s">
        <v>21</v>
      </c>
      <c r="B24" s="40">
        <v>46073</v>
      </c>
      <c r="C24" s="55" t="s">
        <v>23</v>
      </c>
      <c r="D24" s="55"/>
      <c r="E24" s="55"/>
      <c r="F24" s="55"/>
      <c r="G24" s="55"/>
      <c r="H24" s="55"/>
      <c r="I24" s="55"/>
      <c r="J24" s="55"/>
      <c r="K24" s="55"/>
      <c r="L24" s="55"/>
    </row>
    <row r="25" spans="1:12" ht="21.5" customHeight="1" x14ac:dyDescent="0.35">
      <c r="A25" s="39" t="s">
        <v>16</v>
      </c>
      <c r="B25" s="40">
        <v>46074</v>
      </c>
      <c r="C25" s="55" t="s">
        <v>23</v>
      </c>
      <c r="D25" s="55"/>
      <c r="E25" s="55"/>
      <c r="F25" s="55"/>
      <c r="G25" s="55"/>
      <c r="H25" s="55"/>
      <c r="I25" s="55"/>
      <c r="J25" s="55"/>
      <c r="K25" s="55"/>
      <c r="L25" s="55"/>
    </row>
    <row r="26" spans="1:12" ht="21.5" customHeight="1" x14ac:dyDescent="0.35">
      <c r="A26" s="39" t="s">
        <v>17</v>
      </c>
      <c r="B26" s="40">
        <v>46075</v>
      </c>
      <c r="C26" s="55" t="s">
        <v>23</v>
      </c>
      <c r="D26" s="55"/>
      <c r="E26" s="55"/>
      <c r="F26" s="55"/>
      <c r="G26" s="55"/>
      <c r="H26" s="55"/>
      <c r="I26" s="55"/>
      <c r="J26" s="55"/>
      <c r="K26" s="55"/>
      <c r="L26" s="55"/>
    </row>
    <row r="27" spans="1:12" ht="21.5" customHeight="1" x14ac:dyDescent="0.35">
      <c r="A27" s="39" t="s">
        <v>18</v>
      </c>
      <c r="B27" s="40">
        <v>46076</v>
      </c>
      <c r="C27" s="55" t="s">
        <v>28</v>
      </c>
      <c r="D27" s="55"/>
      <c r="E27" s="55"/>
      <c r="F27" s="55"/>
      <c r="G27" s="55"/>
      <c r="H27" s="55"/>
      <c r="I27" s="55"/>
      <c r="J27" s="55"/>
      <c r="K27" s="55"/>
      <c r="L27" s="55"/>
    </row>
    <row r="28" spans="1:12" ht="21.5" customHeight="1" x14ac:dyDescent="0.35">
      <c r="A28" s="39" t="s">
        <v>19</v>
      </c>
      <c r="B28" s="40">
        <v>46077</v>
      </c>
      <c r="C28" s="55" t="s">
        <v>28</v>
      </c>
      <c r="D28" s="55"/>
      <c r="E28" s="55"/>
      <c r="F28" s="55"/>
      <c r="G28" s="55"/>
      <c r="H28" s="55"/>
      <c r="I28" s="55"/>
      <c r="J28" s="55"/>
      <c r="K28" s="55"/>
      <c r="L28" s="55"/>
    </row>
    <row r="29" spans="1:12" ht="21.5" customHeight="1" x14ac:dyDescent="0.35">
      <c r="A29" s="39" t="s">
        <v>20</v>
      </c>
      <c r="B29" s="40">
        <v>46078</v>
      </c>
      <c r="C29" s="55" t="s">
        <v>23</v>
      </c>
      <c r="D29" s="55"/>
      <c r="E29" s="55"/>
      <c r="F29" s="55"/>
      <c r="G29" s="55"/>
      <c r="H29" s="55"/>
      <c r="I29" s="55"/>
      <c r="J29" s="55"/>
      <c r="K29" s="55"/>
      <c r="L29" s="55"/>
    </row>
    <row r="30" spans="1:12" ht="21.5" customHeight="1" x14ac:dyDescent="0.35">
      <c r="A30" s="39" t="s">
        <v>22</v>
      </c>
      <c r="B30" s="40">
        <v>46079</v>
      </c>
      <c r="C30" s="55" t="s">
        <v>23</v>
      </c>
      <c r="D30" s="55"/>
      <c r="E30" s="55"/>
      <c r="F30" s="55"/>
      <c r="G30" s="55"/>
      <c r="H30" s="55"/>
      <c r="I30" s="55"/>
      <c r="J30" s="55"/>
      <c r="K30" s="55"/>
      <c r="L30" s="55"/>
    </row>
    <row r="31" spans="1:12" ht="21.5" customHeight="1" x14ac:dyDescent="0.35">
      <c r="A31" s="39" t="s">
        <v>21</v>
      </c>
      <c r="B31" s="40">
        <v>46080</v>
      </c>
      <c r="C31" s="55" t="s">
        <v>23</v>
      </c>
      <c r="D31" s="55"/>
      <c r="E31" s="55"/>
      <c r="F31" s="55"/>
      <c r="G31" s="55"/>
      <c r="H31" s="55"/>
      <c r="I31" s="55"/>
      <c r="J31" s="55"/>
      <c r="K31" s="55"/>
      <c r="L31" s="55"/>
    </row>
    <row r="32" spans="1:12" ht="21.5" customHeight="1" x14ac:dyDescent="0.35">
      <c r="A32" s="39" t="s">
        <v>16</v>
      </c>
      <c r="B32" s="40">
        <v>46081</v>
      </c>
      <c r="C32" s="55" t="s">
        <v>23</v>
      </c>
      <c r="D32" s="55"/>
      <c r="E32" s="55"/>
      <c r="F32" s="55"/>
      <c r="G32" s="55"/>
      <c r="H32" s="55"/>
      <c r="I32" s="55"/>
      <c r="J32" s="55"/>
      <c r="K32" s="55"/>
      <c r="L32" s="55"/>
    </row>
    <row r="33" spans="1:13" s="3" customFormat="1" ht="31.5" customHeight="1" x14ac:dyDescent="0.35">
      <c r="A33" s="68" t="s">
        <v>29</v>
      </c>
      <c r="B33" s="68"/>
      <c r="C33" s="69"/>
      <c r="D33" s="69" t="s">
        <v>30</v>
      </c>
      <c r="E33" s="69"/>
      <c r="F33" s="69"/>
      <c r="G33" s="68" t="s">
        <v>31</v>
      </c>
      <c r="H33" s="68"/>
      <c r="I33" s="68"/>
      <c r="J33" s="68"/>
      <c r="K33" s="68"/>
      <c r="L33" s="68"/>
    </row>
    <row r="34" spans="1:13" s="3" customFormat="1" ht="47" customHeight="1" x14ac:dyDescent="0.35">
      <c r="A34" s="41" t="s">
        <v>33</v>
      </c>
      <c r="B34" s="41" t="s">
        <v>34</v>
      </c>
      <c r="C34" s="41" t="s">
        <v>32</v>
      </c>
      <c r="D34" s="41" t="s">
        <v>33</v>
      </c>
      <c r="E34" s="41" t="s">
        <v>34</v>
      </c>
      <c r="F34" s="41" t="s">
        <v>32</v>
      </c>
      <c r="G34" s="41" t="s">
        <v>33</v>
      </c>
      <c r="H34" s="41" t="s">
        <v>34</v>
      </c>
      <c r="I34" s="56" t="s">
        <v>35</v>
      </c>
      <c r="J34" s="56"/>
      <c r="K34" s="57" t="s">
        <v>32</v>
      </c>
      <c r="L34" s="57"/>
    </row>
    <row r="35" spans="1:13" s="3" customFormat="1" ht="17" x14ac:dyDescent="0.35">
      <c r="A35" s="42">
        <v>5</v>
      </c>
      <c r="B35" s="42">
        <v>0</v>
      </c>
      <c r="C35" s="43">
        <f>B35+A35</f>
        <v>5</v>
      </c>
      <c r="D35" s="42">
        <v>5</v>
      </c>
      <c r="E35" s="42">
        <v>0</v>
      </c>
      <c r="F35" s="42">
        <f>E35+D35</f>
        <v>5</v>
      </c>
      <c r="G35" s="42">
        <v>5</v>
      </c>
      <c r="H35" s="42">
        <v>0</v>
      </c>
      <c r="I35" s="58"/>
      <c r="J35" s="59"/>
      <c r="K35" s="58">
        <f>I35+H35+G35</f>
        <v>5</v>
      </c>
      <c r="L35" s="59"/>
    </row>
    <row r="36" spans="1:13" s="2" customFormat="1" ht="17" x14ac:dyDescent="0.6">
      <c r="A36" s="53" t="s">
        <v>4</v>
      </c>
      <c r="B36" s="53"/>
      <c r="C36" s="53"/>
      <c r="D36" s="44"/>
      <c r="E36" s="53" t="s">
        <v>5</v>
      </c>
      <c r="F36" s="53"/>
      <c r="G36" s="53"/>
      <c r="H36" s="53"/>
      <c r="I36" s="44"/>
      <c r="J36" s="53" t="s">
        <v>6</v>
      </c>
      <c r="K36" s="53"/>
      <c r="L36" s="45"/>
      <c r="M36" s="4"/>
    </row>
    <row r="37" spans="1:13" s="2" customFormat="1" ht="54.5" customHeight="1" x14ac:dyDescent="0.6">
      <c r="A37" s="53" t="s">
        <v>7</v>
      </c>
      <c r="B37" s="53"/>
      <c r="C37" s="53"/>
      <c r="D37" s="54"/>
      <c r="E37" s="53" t="s">
        <v>8</v>
      </c>
      <c r="F37" s="53"/>
      <c r="G37" s="53"/>
      <c r="H37" s="53"/>
      <c r="I37" s="44"/>
      <c r="J37" s="53" t="s">
        <v>9</v>
      </c>
      <c r="K37" s="53"/>
      <c r="L37" s="44"/>
      <c r="M37" s="4"/>
    </row>
    <row r="38" spans="1:13" s="2" customFormat="1" ht="48" customHeight="1" x14ac:dyDescent="0.6">
      <c r="A38" s="53"/>
      <c r="B38" s="53"/>
      <c r="C38" s="53"/>
      <c r="D38" s="54"/>
      <c r="E38" s="53" t="s">
        <v>11</v>
      </c>
      <c r="F38" s="53"/>
      <c r="G38" s="53"/>
      <c r="H38" s="53"/>
      <c r="I38" s="44"/>
      <c r="J38" s="53" t="s">
        <v>12</v>
      </c>
      <c r="K38" s="53"/>
      <c r="L38" s="44"/>
      <c r="M38" s="4"/>
    </row>
    <row r="39" spans="1:13" s="2" customFormat="1" ht="39" customHeight="1" x14ac:dyDescent="0.6">
      <c r="A39" s="53" t="s">
        <v>10</v>
      </c>
      <c r="B39" s="53"/>
      <c r="C39" s="53"/>
      <c r="D39" s="44"/>
      <c r="E39" s="53" t="s">
        <v>13</v>
      </c>
      <c r="F39" s="53"/>
      <c r="G39" s="53"/>
      <c r="H39" s="53"/>
      <c r="I39" s="44"/>
      <c r="J39" s="53" t="s">
        <v>14</v>
      </c>
      <c r="K39" s="53"/>
      <c r="L39" s="44"/>
      <c r="M39" s="4"/>
    </row>
    <row r="40" spans="1:13" ht="39" customHeight="1" x14ac:dyDescent="0.35"/>
    <row r="41" spans="1:13" s="2" customFormat="1" ht="14.5" customHeight="1" x14ac:dyDescent="0.6">
      <c r="A41" s="36" t="s">
        <v>92</v>
      </c>
      <c r="B41" s="36" t="str">
        <f>سەرەتا!B5</f>
        <v xml:space="preserve">مظفر حيدر مولود </v>
      </c>
      <c r="D41" s="36"/>
      <c r="E41" s="36" t="s">
        <v>93</v>
      </c>
      <c r="F41" s="37"/>
      <c r="G41" s="36"/>
      <c r="H41" s="36" t="s">
        <v>94</v>
      </c>
      <c r="I41" s="36"/>
    </row>
    <row r="42" spans="1:13" ht="14.5" customHeight="1" x14ac:dyDescent="0.35">
      <c r="A42" s="35"/>
      <c r="B42" s="35"/>
      <c r="C42" s="35"/>
      <c r="D42" s="35"/>
      <c r="E42" s="35"/>
      <c r="F42" s="35"/>
      <c r="G42" s="35"/>
      <c r="H42" s="35"/>
      <c r="I42" s="35"/>
    </row>
  </sheetData>
  <mergeCells count="54">
    <mergeCell ref="P8:Y8"/>
    <mergeCell ref="E3:G3"/>
    <mergeCell ref="C5:L5"/>
    <mergeCell ref="C6:L6"/>
    <mergeCell ref="C7:L7"/>
    <mergeCell ref="C8:L8"/>
    <mergeCell ref="I3:J3"/>
    <mergeCell ref="C24:L24"/>
    <mergeCell ref="C14:L14"/>
    <mergeCell ref="C15:L15"/>
    <mergeCell ref="C16:L16"/>
    <mergeCell ref="C17:L17"/>
    <mergeCell ref="C18:L18"/>
    <mergeCell ref="C19:L19"/>
    <mergeCell ref="C9:L9"/>
    <mergeCell ref="C10:L10"/>
    <mergeCell ref="C11:L11"/>
    <mergeCell ref="C12:L12"/>
    <mergeCell ref="C13:L13"/>
    <mergeCell ref="A1:L1"/>
    <mergeCell ref="A2:L2"/>
    <mergeCell ref="K3:L3"/>
    <mergeCell ref="C4:L4"/>
    <mergeCell ref="A33:C33"/>
    <mergeCell ref="D33:F33"/>
    <mergeCell ref="G33:L33"/>
    <mergeCell ref="C20:L20"/>
    <mergeCell ref="C21:L21"/>
    <mergeCell ref="C22:L22"/>
    <mergeCell ref="C23:L23"/>
    <mergeCell ref="C30:L30"/>
    <mergeCell ref="C31:L31"/>
    <mergeCell ref="C32:L32"/>
    <mergeCell ref="C25:L25"/>
    <mergeCell ref="C26:L26"/>
    <mergeCell ref="C27:L27"/>
    <mergeCell ref="C28:L28"/>
    <mergeCell ref="C29:L29"/>
    <mergeCell ref="A36:C36"/>
    <mergeCell ref="E36:H36"/>
    <mergeCell ref="J36:K36"/>
    <mergeCell ref="I34:J34"/>
    <mergeCell ref="K34:L34"/>
    <mergeCell ref="I35:J35"/>
    <mergeCell ref="K35:L35"/>
    <mergeCell ref="E37:H37"/>
    <mergeCell ref="J37:K37"/>
    <mergeCell ref="E38:H38"/>
    <mergeCell ref="J38:K38"/>
    <mergeCell ref="A39:C39"/>
    <mergeCell ref="E39:H39"/>
    <mergeCell ref="J39:K39"/>
    <mergeCell ref="A37:C38"/>
    <mergeCell ref="D37:D38"/>
  </mergeCells>
  <pageMargins left="0.7" right="0.7" top="0.75" bottom="0.75" header="0.3" footer="0.3"/>
  <pageSetup paperSize="9" scale="6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C9EC-15DF-4705-9DE4-684F302E4B00}">
  <dimension ref="A1:M44"/>
  <sheetViews>
    <sheetView rightToLeft="1" view="pageBreakPreview" zoomScale="85" zoomScaleNormal="62" zoomScaleSheetLayoutView="85" workbookViewId="0">
      <selection sqref="A1:L1"/>
    </sheetView>
  </sheetViews>
  <sheetFormatPr defaultRowHeight="14.5" x14ac:dyDescent="0.35"/>
  <cols>
    <col min="1" max="1" width="12.453125" customWidth="1"/>
    <col min="2" max="2" width="17.08984375" customWidth="1"/>
    <col min="4" max="4" width="11.08984375" customWidth="1"/>
    <col min="6" max="6" width="27.7265625" customWidth="1"/>
    <col min="7" max="7" width="9.7265625" customWidth="1"/>
    <col min="9" max="9" width="5" customWidth="1"/>
    <col min="12" max="12" width="6.453125" customWidth="1"/>
  </cols>
  <sheetData>
    <row r="1" spans="1:12" ht="21.5" customHeight="1" x14ac:dyDescent="0.35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</row>
    <row r="2" spans="1:12" ht="21.5" customHeight="1" x14ac:dyDescent="0.35">
      <c r="A2" s="63" t="s">
        <v>15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5"/>
    </row>
    <row r="3" spans="1:12" s="1" customFormat="1" ht="21.5" customHeight="1" x14ac:dyDescent="0.35">
      <c r="A3" s="22" t="s">
        <v>84</v>
      </c>
      <c r="B3" s="21">
        <f>سەرەتا!D2</f>
        <v>6</v>
      </c>
      <c r="C3" s="23" t="s">
        <v>85</v>
      </c>
      <c r="D3" s="21" t="str">
        <f>سەرەتا!C2</f>
        <v>٢٠٢٥-٢٠٢٦</v>
      </c>
      <c r="E3" s="74" t="s">
        <v>86</v>
      </c>
      <c r="F3" s="74"/>
      <c r="G3" s="74"/>
      <c r="H3" s="23" t="s">
        <v>87</v>
      </c>
      <c r="I3" s="74">
        <f>سەرەتا!C6</f>
        <v>101</v>
      </c>
      <c r="J3" s="74"/>
      <c r="K3" s="66"/>
      <c r="L3" s="67"/>
    </row>
    <row r="4" spans="1:12" ht="21.5" customHeight="1" x14ac:dyDescent="0.35">
      <c r="A4" s="38" t="s">
        <v>1</v>
      </c>
      <c r="B4" s="38" t="s">
        <v>2</v>
      </c>
      <c r="C4" s="55" t="s">
        <v>3</v>
      </c>
      <c r="D4" s="55"/>
      <c r="E4" s="55"/>
      <c r="F4" s="55"/>
      <c r="G4" s="55"/>
      <c r="H4" s="55"/>
      <c r="I4" s="55"/>
      <c r="J4" s="55"/>
      <c r="K4" s="55"/>
      <c r="L4" s="55"/>
    </row>
    <row r="5" spans="1:12" ht="21.5" customHeight="1" x14ac:dyDescent="0.35">
      <c r="A5" s="39" t="s">
        <v>16</v>
      </c>
      <c r="B5" s="40">
        <v>45717</v>
      </c>
      <c r="C5" s="55" t="s">
        <v>28</v>
      </c>
      <c r="D5" s="55"/>
      <c r="E5" s="55"/>
      <c r="F5" s="55"/>
      <c r="G5" s="55"/>
      <c r="H5" s="55"/>
      <c r="I5" s="55"/>
      <c r="J5" s="55"/>
      <c r="K5" s="55"/>
      <c r="L5" s="55"/>
    </row>
    <row r="6" spans="1:12" ht="21.5" customHeight="1" x14ac:dyDescent="0.35">
      <c r="A6" s="39" t="s">
        <v>17</v>
      </c>
      <c r="B6" s="40">
        <v>45718</v>
      </c>
      <c r="C6" s="70" t="s">
        <v>40</v>
      </c>
      <c r="D6" s="71"/>
      <c r="E6" s="71"/>
      <c r="F6" s="71"/>
      <c r="G6" s="71"/>
      <c r="H6" s="71"/>
      <c r="I6" s="71"/>
      <c r="J6" s="71"/>
      <c r="K6" s="71"/>
      <c r="L6" s="72"/>
    </row>
    <row r="7" spans="1:12" ht="21.5" customHeight="1" x14ac:dyDescent="0.35">
      <c r="A7" s="39" t="s">
        <v>18</v>
      </c>
      <c r="B7" s="40">
        <v>45719</v>
      </c>
      <c r="C7" s="70" t="s">
        <v>40</v>
      </c>
      <c r="D7" s="71"/>
      <c r="E7" s="71"/>
      <c r="F7" s="71"/>
      <c r="G7" s="71"/>
      <c r="H7" s="71"/>
      <c r="I7" s="71"/>
      <c r="J7" s="71"/>
      <c r="K7" s="71"/>
      <c r="L7" s="72"/>
    </row>
    <row r="8" spans="1:12" ht="21.5" customHeight="1" x14ac:dyDescent="0.35">
      <c r="A8" s="39" t="s">
        <v>19</v>
      </c>
      <c r="B8" s="40">
        <v>45720</v>
      </c>
      <c r="C8" s="70" t="s">
        <v>40</v>
      </c>
      <c r="D8" s="71"/>
      <c r="E8" s="71"/>
      <c r="F8" s="71"/>
      <c r="G8" s="71"/>
      <c r="H8" s="71"/>
      <c r="I8" s="71"/>
      <c r="J8" s="71"/>
      <c r="K8" s="71"/>
      <c r="L8" s="72"/>
    </row>
    <row r="9" spans="1:12" ht="21.5" customHeight="1" x14ac:dyDescent="0.35">
      <c r="A9" s="39" t="s">
        <v>20</v>
      </c>
      <c r="B9" s="40">
        <v>45721</v>
      </c>
      <c r="C9" s="55" t="s">
        <v>28</v>
      </c>
      <c r="D9" s="55"/>
      <c r="E9" s="55"/>
      <c r="F9" s="55"/>
      <c r="G9" s="55"/>
      <c r="H9" s="55"/>
      <c r="I9" s="55"/>
      <c r="J9" s="55"/>
      <c r="K9" s="55"/>
      <c r="L9" s="55"/>
    </row>
    <row r="10" spans="1:12" ht="21.5" x14ac:dyDescent="0.35">
      <c r="A10" s="39" t="s">
        <v>22</v>
      </c>
      <c r="B10" s="40">
        <v>45722</v>
      </c>
      <c r="C10" s="55" t="s">
        <v>23</v>
      </c>
      <c r="D10" s="55"/>
      <c r="E10" s="55"/>
      <c r="F10" s="55"/>
      <c r="G10" s="55"/>
      <c r="H10" s="55"/>
      <c r="I10" s="55"/>
      <c r="J10" s="55"/>
      <c r="K10" s="55"/>
      <c r="L10" s="55"/>
    </row>
    <row r="11" spans="1:12" ht="21.5" customHeight="1" x14ac:dyDescent="0.35">
      <c r="A11" s="39" t="s">
        <v>21</v>
      </c>
      <c r="B11" s="40">
        <v>45723</v>
      </c>
      <c r="C11" s="55" t="s">
        <v>28</v>
      </c>
      <c r="D11" s="55"/>
      <c r="E11" s="55"/>
      <c r="F11" s="55"/>
      <c r="G11" s="55"/>
      <c r="H11" s="55"/>
      <c r="I11" s="55"/>
      <c r="J11" s="55"/>
      <c r="K11" s="55"/>
      <c r="L11" s="55"/>
    </row>
    <row r="12" spans="1:12" ht="21.5" customHeight="1" x14ac:dyDescent="0.35">
      <c r="A12" s="39" t="s">
        <v>16</v>
      </c>
      <c r="B12" s="40">
        <v>45724</v>
      </c>
      <c r="C12" s="55" t="s">
        <v>28</v>
      </c>
      <c r="D12" s="55"/>
      <c r="E12" s="55"/>
      <c r="F12" s="55"/>
      <c r="G12" s="55"/>
      <c r="H12" s="55"/>
      <c r="I12" s="55"/>
      <c r="J12" s="55"/>
      <c r="K12" s="55"/>
      <c r="L12" s="55"/>
    </row>
    <row r="13" spans="1:12" ht="21.5" customHeight="1" x14ac:dyDescent="0.35">
      <c r="A13" s="39" t="s">
        <v>17</v>
      </c>
      <c r="B13" s="40">
        <v>45725</v>
      </c>
      <c r="C13" s="55" t="s">
        <v>23</v>
      </c>
      <c r="D13" s="55"/>
      <c r="E13" s="55"/>
      <c r="F13" s="55"/>
      <c r="G13" s="55"/>
      <c r="H13" s="55"/>
      <c r="I13" s="55"/>
      <c r="J13" s="55"/>
      <c r="K13" s="55"/>
      <c r="L13" s="55"/>
    </row>
    <row r="14" spans="1:12" ht="21.5" customHeight="1" x14ac:dyDescent="0.35">
      <c r="A14" s="39" t="s">
        <v>18</v>
      </c>
      <c r="B14" s="40">
        <v>45726</v>
      </c>
      <c r="C14" s="55" t="s">
        <v>23</v>
      </c>
      <c r="D14" s="55"/>
      <c r="E14" s="55"/>
      <c r="F14" s="55"/>
      <c r="G14" s="55"/>
      <c r="H14" s="55"/>
      <c r="I14" s="55"/>
      <c r="J14" s="55"/>
      <c r="K14" s="55"/>
      <c r="L14" s="55"/>
    </row>
    <row r="15" spans="1:12" ht="21.5" customHeight="1" x14ac:dyDescent="0.35">
      <c r="A15" s="39" t="s">
        <v>19</v>
      </c>
      <c r="B15" s="40">
        <v>45727</v>
      </c>
      <c r="C15" s="70" t="s">
        <v>28</v>
      </c>
      <c r="D15" s="71"/>
      <c r="E15" s="71"/>
      <c r="F15" s="71"/>
      <c r="G15" s="71"/>
      <c r="H15" s="71"/>
      <c r="I15" s="71"/>
      <c r="J15" s="71"/>
      <c r="K15" s="71"/>
      <c r="L15" s="72"/>
    </row>
    <row r="16" spans="1:12" ht="21.5" customHeight="1" x14ac:dyDescent="0.35">
      <c r="A16" s="39" t="s">
        <v>20</v>
      </c>
      <c r="B16" s="40">
        <v>45728</v>
      </c>
      <c r="C16" s="70" t="s">
        <v>23</v>
      </c>
      <c r="D16" s="71"/>
      <c r="E16" s="71"/>
      <c r="F16" s="71"/>
      <c r="G16" s="71"/>
      <c r="H16" s="71"/>
      <c r="I16" s="71"/>
      <c r="J16" s="71"/>
      <c r="K16" s="71"/>
      <c r="L16" s="72"/>
    </row>
    <row r="17" spans="1:12" ht="21.5" customHeight="1" x14ac:dyDescent="0.35">
      <c r="A17" s="39" t="s">
        <v>22</v>
      </c>
      <c r="B17" s="40">
        <v>45729</v>
      </c>
      <c r="C17" s="70" t="s">
        <v>23</v>
      </c>
      <c r="D17" s="71"/>
      <c r="E17" s="71"/>
      <c r="F17" s="71"/>
      <c r="G17" s="71"/>
      <c r="H17" s="71"/>
      <c r="I17" s="71"/>
      <c r="J17" s="71"/>
      <c r="K17" s="71"/>
      <c r="L17" s="72"/>
    </row>
    <row r="18" spans="1:12" ht="21.5" customHeight="1" x14ac:dyDescent="0.35">
      <c r="A18" s="39" t="s">
        <v>21</v>
      </c>
      <c r="B18" s="40">
        <v>45730</v>
      </c>
      <c r="C18" s="70" t="s">
        <v>28</v>
      </c>
      <c r="D18" s="71"/>
      <c r="E18" s="71"/>
      <c r="F18" s="71"/>
      <c r="G18" s="71"/>
      <c r="H18" s="71"/>
      <c r="I18" s="71"/>
      <c r="J18" s="71"/>
      <c r="K18" s="71"/>
      <c r="L18" s="72"/>
    </row>
    <row r="19" spans="1:12" ht="21.5" customHeight="1" x14ac:dyDescent="0.35">
      <c r="A19" s="39" t="s">
        <v>16</v>
      </c>
      <c r="B19" s="40">
        <v>45731</v>
      </c>
      <c r="C19" s="70" t="s">
        <v>23</v>
      </c>
      <c r="D19" s="71"/>
      <c r="E19" s="71"/>
      <c r="F19" s="71"/>
      <c r="G19" s="71"/>
      <c r="H19" s="71"/>
      <c r="I19" s="71"/>
      <c r="J19" s="71"/>
      <c r="K19" s="71"/>
      <c r="L19" s="72"/>
    </row>
    <row r="20" spans="1:12" ht="21.5" customHeight="1" x14ac:dyDescent="0.35">
      <c r="A20" s="39" t="s">
        <v>17</v>
      </c>
      <c r="B20" s="40">
        <v>45732</v>
      </c>
      <c r="C20" s="70" t="s">
        <v>28</v>
      </c>
      <c r="D20" s="71"/>
      <c r="E20" s="71"/>
      <c r="F20" s="71"/>
      <c r="G20" s="71"/>
      <c r="H20" s="71"/>
      <c r="I20" s="71"/>
      <c r="J20" s="71"/>
      <c r="K20" s="71"/>
      <c r="L20" s="72"/>
    </row>
    <row r="21" spans="1:12" ht="21.5" customHeight="1" x14ac:dyDescent="0.35">
      <c r="A21" s="39" t="s">
        <v>18</v>
      </c>
      <c r="B21" s="40">
        <v>45733</v>
      </c>
      <c r="C21" s="70" t="s">
        <v>23</v>
      </c>
      <c r="D21" s="71"/>
      <c r="E21" s="71"/>
      <c r="F21" s="71"/>
      <c r="G21" s="71"/>
      <c r="H21" s="71"/>
      <c r="I21" s="71"/>
      <c r="J21" s="71"/>
      <c r="K21" s="71"/>
      <c r="L21" s="72"/>
    </row>
    <row r="22" spans="1:12" ht="21.5" customHeight="1" x14ac:dyDescent="0.35">
      <c r="A22" s="39" t="s">
        <v>19</v>
      </c>
      <c r="B22" s="40">
        <v>45734</v>
      </c>
      <c r="C22" s="70" t="s">
        <v>23</v>
      </c>
      <c r="D22" s="71"/>
      <c r="E22" s="71"/>
      <c r="F22" s="71"/>
      <c r="G22" s="71"/>
      <c r="H22" s="71"/>
      <c r="I22" s="71"/>
      <c r="J22" s="71"/>
      <c r="K22" s="71"/>
      <c r="L22" s="72"/>
    </row>
    <row r="23" spans="1:12" ht="21.5" customHeight="1" x14ac:dyDescent="0.35">
      <c r="A23" s="39" t="s">
        <v>20</v>
      </c>
      <c r="B23" s="40">
        <v>45735</v>
      </c>
      <c r="C23" s="70" t="s">
        <v>23</v>
      </c>
      <c r="D23" s="71"/>
      <c r="E23" s="71"/>
      <c r="F23" s="71"/>
      <c r="G23" s="71"/>
      <c r="H23" s="71"/>
      <c r="I23" s="71"/>
      <c r="J23" s="71"/>
      <c r="K23" s="71"/>
      <c r="L23" s="72"/>
    </row>
    <row r="24" spans="1:12" ht="21.5" x14ac:dyDescent="0.35">
      <c r="A24" s="39" t="s">
        <v>22</v>
      </c>
      <c r="B24" s="40">
        <v>45736</v>
      </c>
      <c r="C24" s="70" t="s">
        <v>23</v>
      </c>
      <c r="D24" s="71"/>
      <c r="E24" s="71"/>
      <c r="F24" s="71"/>
      <c r="G24" s="71"/>
      <c r="H24" s="71"/>
      <c r="I24" s="71"/>
      <c r="J24" s="71"/>
      <c r="K24" s="71"/>
      <c r="L24" s="72"/>
    </row>
    <row r="25" spans="1:12" ht="21.5" customHeight="1" x14ac:dyDescent="0.35">
      <c r="A25" s="39" t="s">
        <v>21</v>
      </c>
      <c r="B25" s="40">
        <v>45737</v>
      </c>
      <c r="C25" s="70" t="s">
        <v>28</v>
      </c>
      <c r="D25" s="71"/>
      <c r="E25" s="71"/>
      <c r="F25" s="71"/>
      <c r="G25" s="71"/>
      <c r="H25" s="71"/>
      <c r="I25" s="71"/>
      <c r="J25" s="71"/>
      <c r="K25" s="71"/>
      <c r="L25" s="72"/>
    </row>
    <row r="26" spans="1:12" ht="21.5" customHeight="1" x14ac:dyDescent="0.35">
      <c r="A26" s="39" t="s">
        <v>16</v>
      </c>
      <c r="B26" s="40">
        <v>45738</v>
      </c>
      <c r="C26" s="70" t="s">
        <v>28</v>
      </c>
      <c r="D26" s="71"/>
      <c r="E26" s="71"/>
      <c r="F26" s="71"/>
      <c r="G26" s="71"/>
      <c r="H26" s="71"/>
      <c r="I26" s="71"/>
      <c r="J26" s="71"/>
      <c r="K26" s="71"/>
      <c r="L26" s="72"/>
    </row>
    <row r="27" spans="1:12" ht="21.5" customHeight="1" x14ac:dyDescent="0.35">
      <c r="A27" s="39" t="s">
        <v>17</v>
      </c>
      <c r="B27" s="40">
        <v>45739</v>
      </c>
      <c r="C27" s="70" t="s">
        <v>28</v>
      </c>
      <c r="D27" s="71"/>
      <c r="E27" s="71"/>
      <c r="F27" s="71"/>
      <c r="G27" s="71"/>
      <c r="H27" s="71"/>
      <c r="I27" s="71"/>
      <c r="J27" s="71"/>
      <c r="K27" s="71"/>
      <c r="L27" s="72"/>
    </row>
    <row r="28" spans="1:12" ht="21.5" customHeight="1" x14ac:dyDescent="0.35">
      <c r="A28" s="39" t="s">
        <v>18</v>
      </c>
      <c r="B28" s="40">
        <v>45740</v>
      </c>
      <c r="C28" s="70" t="s">
        <v>39</v>
      </c>
      <c r="D28" s="71"/>
      <c r="E28" s="71"/>
      <c r="F28" s="71"/>
      <c r="G28" s="71"/>
      <c r="H28" s="71"/>
      <c r="I28" s="71"/>
      <c r="J28" s="71"/>
      <c r="K28" s="71"/>
      <c r="L28" s="72"/>
    </row>
    <row r="29" spans="1:12" ht="21.5" customHeight="1" x14ac:dyDescent="0.35">
      <c r="A29" s="39" t="s">
        <v>19</v>
      </c>
      <c r="B29" s="40">
        <v>45741</v>
      </c>
      <c r="C29" s="70" t="s">
        <v>39</v>
      </c>
      <c r="D29" s="71"/>
      <c r="E29" s="71"/>
      <c r="F29" s="71"/>
      <c r="G29" s="71"/>
      <c r="H29" s="71"/>
      <c r="I29" s="71"/>
      <c r="J29" s="71"/>
      <c r="K29" s="71"/>
      <c r="L29" s="72"/>
    </row>
    <row r="30" spans="1:12" ht="21.5" customHeight="1" x14ac:dyDescent="0.35">
      <c r="A30" s="39" t="s">
        <v>20</v>
      </c>
      <c r="B30" s="40">
        <v>45742</v>
      </c>
      <c r="C30" s="70" t="s">
        <v>39</v>
      </c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1.5" customHeight="1" x14ac:dyDescent="0.35">
      <c r="A31" s="39" t="s">
        <v>22</v>
      </c>
      <c r="B31" s="40">
        <v>45743</v>
      </c>
      <c r="C31" s="55" t="s">
        <v>23</v>
      </c>
      <c r="D31" s="55"/>
      <c r="E31" s="55"/>
      <c r="F31" s="55"/>
      <c r="G31" s="55"/>
      <c r="H31" s="55"/>
      <c r="I31" s="55"/>
      <c r="J31" s="55"/>
      <c r="K31" s="55"/>
      <c r="L31" s="55"/>
    </row>
    <row r="32" spans="1:12" ht="21.5" customHeight="1" x14ac:dyDescent="0.35">
      <c r="A32" s="39" t="s">
        <v>21</v>
      </c>
      <c r="B32" s="40">
        <v>45744</v>
      </c>
      <c r="C32" s="55" t="s">
        <v>28</v>
      </c>
      <c r="D32" s="55"/>
      <c r="E32" s="55"/>
      <c r="F32" s="55"/>
      <c r="G32" s="55"/>
      <c r="H32" s="55"/>
      <c r="I32" s="55"/>
      <c r="J32" s="55"/>
      <c r="K32" s="55"/>
      <c r="L32" s="55"/>
    </row>
    <row r="33" spans="1:13" ht="21.5" customHeight="1" x14ac:dyDescent="0.35">
      <c r="A33" s="39" t="s">
        <v>16</v>
      </c>
      <c r="B33" s="40">
        <v>45745</v>
      </c>
      <c r="C33" s="55" t="s">
        <v>28</v>
      </c>
      <c r="D33" s="55"/>
      <c r="E33" s="55"/>
      <c r="F33" s="55"/>
      <c r="G33" s="55"/>
      <c r="H33" s="55"/>
      <c r="I33" s="55"/>
      <c r="J33" s="55"/>
      <c r="K33" s="55"/>
      <c r="L33" s="55"/>
    </row>
    <row r="34" spans="1:13" ht="21.5" x14ac:dyDescent="0.35">
      <c r="A34" s="39" t="s">
        <v>17</v>
      </c>
      <c r="B34" s="40">
        <v>45746</v>
      </c>
      <c r="C34" s="55" t="s">
        <v>23</v>
      </c>
      <c r="D34" s="55"/>
      <c r="E34" s="55"/>
      <c r="F34" s="55"/>
      <c r="G34" s="55"/>
      <c r="H34" s="55"/>
      <c r="I34" s="55"/>
      <c r="J34" s="55"/>
      <c r="K34" s="55"/>
      <c r="L34" s="55"/>
    </row>
    <row r="35" spans="1:13" ht="21.5" x14ac:dyDescent="0.35">
      <c r="A35" s="39" t="s">
        <v>18</v>
      </c>
      <c r="B35" s="40">
        <v>45747</v>
      </c>
      <c r="C35" s="55" t="s">
        <v>23</v>
      </c>
      <c r="D35" s="55"/>
      <c r="E35" s="55"/>
      <c r="F35" s="55"/>
      <c r="G35" s="55"/>
      <c r="H35" s="55"/>
      <c r="I35" s="55"/>
      <c r="J35" s="55"/>
      <c r="K35" s="55"/>
      <c r="L35" s="55"/>
    </row>
    <row r="36" spans="1:13" s="3" customFormat="1" ht="31.5" customHeight="1" x14ac:dyDescent="0.35">
      <c r="A36" s="68" t="s">
        <v>29</v>
      </c>
      <c r="B36" s="68"/>
      <c r="C36" s="69"/>
      <c r="D36" s="69" t="s">
        <v>30</v>
      </c>
      <c r="E36" s="69"/>
      <c r="F36" s="69"/>
      <c r="G36" s="68" t="s">
        <v>31</v>
      </c>
      <c r="H36" s="68"/>
      <c r="I36" s="68"/>
      <c r="J36" s="68"/>
      <c r="K36" s="68"/>
      <c r="L36" s="68"/>
    </row>
    <row r="37" spans="1:13" s="3" customFormat="1" ht="47" customHeight="1" x14ac:dyDescent="0.35">
      <c r="A37" s="41" t="s">
        <v>33</v>
      </c>
      <c r="B37" s="41" t="s">
        <v>34</v>
      </c>
      <c r="C37" s="41" t="s">
        <v>32</v>
      </c>
      <c r="D37" s="41" t="s">
        <v>33</v>
      </c>
      <c r="E37" s="41" t="s">
        <v>34</v>
      </c>
      <c r="F37" s="41" t="s">
        <v>32</v>
      </c>
      <c r="G37" s="41" t="s">
        <v>33</v>
      </c>
      <c r="H37" s="41" t="s">
        <v>34</v>
      </c>
      <c r="I37" s="56" t="s">
        <v>35</v>
      </c>
      <c r="J37" s="56"/>
      <c r="K37" s="57" t="s">
        <v>32</v>
      </c>
      <c r="L37" s="57"/>
    </row>
    <row r="38" spans="1:13" s="3" customFormat="1" ht="17" x14ac:dyDescent="0.35">
      <c r="A38" s="42">
        <v>5</v>
      </c>
      <c r="B38" s="42">
        <v>15</v>
      </c>
      <c r="C38" s="43">
        <f>B38+A38</f>
        <v>20</v>
      </c>
      <c r="D38" s="42">
        <v>4</v>
      </c>
      <c r="E38" s="42">
        <v>3</v>
      </c>
      <c r="F38" s="42">
        <f>E38+D38</f>
        <v>7</v>
      </c>
      <c r="G38" s="42">
        <v>4</v>
      </c>
      <c r="H38" s="42">
        <v>3</v>
      </c>
      <c r="I38" s="58"/>
      <c r="J38" s="59"/>
      <c r="K38" s="58">
        <f>I38+H38+G38</f>
        <v>7</v>
      </c>
      <c r="L38" s="59"/>
    </row>
    <row r="39" spans="1:13" s="2" customFormat="1" ht="17" x14ac:dyDescent="0.6">
      <c r="A39" s="53" t="s">
        <v>4</v>
      </c>
      <c r="B39" s="53"/>
      <c r="C39" s="53"/>
      <c r="D39" s="44"/>
      <c r="E39" s="53" t="s">
        <v>5</v>
      </c>
      <c r="F39" s="53"/>
      <c r="G39" s="53"/>
      <c r="H39" s="53"/>
      <c r="I39" s="44"/>
      <c r="J39" s="53" t="s">
        <v>6</v>
      </c>
      <c r="K39" s="53"/>
      <c r="L39" s="45">
        <v>1</v>
      </c>
      <c r="M39" s="4"/>
    </row>
    <row r="40" spans="1:13" s="2" customFormat="1" ht="54.5" customHeight="1" x14ac:dyDescent="0.6">
      <c r="A40" s="53" t="s">
        <v>7</v>
      </c>
      <c r="B40" s="53"/>
      <c r="C40" s="53"/>
      <c r="D40" s="54"/>
      <c r="E40" s="53" t="s">
        <v>8</v>
      </c>
      <c r="F40" s="53"/>
      <c r="G40" s="53"/>
      <c r="H40" s="53"/>
      <c r="I40" s="44"/>
      <c r="J40" s="53" t="s">
        <v>9</v>
      </c>
      <c r="K40" s="53"/>
      <c r="L40" s="44"/>
      <c r="M40" s="4"/>
    </row>
    <row r="41" spans="1:13" s="2" customFormat="1" ht="48" customHeight="1" x14ac:dyDescent="0.6">
      <c r="A41" s="53"/>
      <c r="B41" s="53"/>
      <c r="C41" s="53"/>
      <c r="D41" s="54"/>
      <c r="E41" s="53" t="s">
        <v>11</v>
      </c>
      <c r="F41" s="53"/>
      <c r="G41" s="53"/>
      <c r="H41" s="53"/>
      <c r="I41" s="44"/>
      <c r="J41" s="53" t="s">
        <v>12</v>
      </c>
      <c r="K41" s="53"/>
      <c r="L41" s="44"/>
      <c r="M41" s="4"/>
    </row>
    <row r="42" spans="1:13" s="2" customFormat="1" ht="39" customHeight="1" x14ac:dyDescent="0.6">
      <c r="A42" s="53" t="s">
        <v>10</v>
      </c>
      <c r="B42" s="53"/>
      <c r="C42" s="53"/>
      <c r="D42" s="44"/>
      <c r="E42" s="53" t="s">
        <v>13</v>
      </c>
      <c r="F42" s="53"/>
      <c r="G42" s="53"/>
      <c r="H42" s="53"/>
      <c r="I42" s="44"/>
      <c r="J42" s="53" t="s">
        <v>14</v>
      </c>
      <c r="K42" s="53"/>
      <c r="L42" s="44"/>
      <c r="M42" s="4"/>
    </row>
    <row r="43" spans="1:13" ht="39" customHeight="1" x14ac:dyDescent="0.35"/>
    <row r="44" spans="1:13" s="2" customFormat="1" ht="14.5" customHeight="1" x14ac:dyDescent="0.6">
      <c r="A44" s="36" t="s">
        <v>92</v>
      </c>
      <c r="B44" s="36" t="str">
        <f>سەرەتا!B6</f>
        <v>عبدالصمد محمد على</v>
      </c>
      <c r="D44" s="36"/>
      <c r="E44" s="36" t="s">
        <v>93</v>
      </c>
      <c r="F44" s="37"/>
      <c r="G44" s="36"/>
      <c r="H44" s="36" t="s">
        <v>94</v>
      </c>
      <c r="I44" s="36"/>
    </row>
  </sheetData>
  <mergeCells count="56">
    <mergeCell ref="I37:J37"/>
    <mergeCell ref="K37:L37"/>
    <mergeCell ref="A39:C39"/>
    <mergeCell ref="I38:J38"/>
    <mergeCell ref="K38:L38"/>
    <mergeCell ref="E39:H39"/>
    <mergeCell ref="J39:K39"/>
    <mergeCell ref="C35:L35"/>
    <mergeCell ref="A36:C36"/>
    <mergeCell ref="D36:F36"/>
    <mergeCell ref="G36:L36"/>
    <mergeCell ref="C25:L25"/>
    <mergeCell ref="C26:L26"/>
    <mergeCell ref="C27:L27"/>
    <mergeCell ref="C33:L33"/>
    <mergeCell ref="C34:L34"/>
    <mergeCell ref="C28:L28"/>
    <mergeCell ref="C29:L29"/>
    <mergeCell ref="C30:L30"/>
    <mergeCell ref="C31:L31"/>
    <mergeCell ref="C32:L32"/>
    <mergeCell ref="C10:L10"/>
    <mergeCell ref="C11:L11"/>
    <mergeCell ref="C12:L12"/>
    <mergeCell ref="C13:L13"/>
    <mergeCell ref="C14:L14"/>
    <mergeCell ref="A1:L1"/>
    <mergeCell ref="A2:L2"/>
    <mergeCell ref="C4:L4"/>
    <mergeCell ref="E3:G3"/>
    <mergeCell ref="K3:L3"/>
    <mergeCell ref="I3:J3"/>
    <mergeCell ref="C5:L5"/>
    <mergeCell ref="C6:L6"/>
    <mergeCell ref="C7:L7"/>
    <mergeCell ref="C8:L8"/>
    <mergeCell ref="C9:L9"/>
    <mergeCell ref="C15:L15"/>
    <mergeCell ref="C16:L16"/>
    <mergeCell ref="C17:L17"/>
    <mergeCell ref="C18:L18"/>
    <mergeCell ref="C19:L19"/>
    <mergeCell ref="C20:L20"/>
    <mergeCell ref="C21:L21"/>
    <mergeCell ref="C22:L22"/>
    <mergeCell ref="C23:L23"/>
    <mergeCell ref="C24:L24"/>
    <mergeCell ref="A42:C42"/>
    <mergeCell ref="E42:H42"/>
    <mergeCell ref="J42:K42"/>
    <mergeCell ref="A40:C41"/>
    <mergeCell ref="D40:D41"/>
    <mergeCell ref="E40:H40"/>
    <mergeCell ref="J40:K40"/>
    <mergeCell ref="E41:H41"/>
    <mergeCell ref="J41:K41"/>
  </mergeCells>
  <pageMargins left="0.7" right="0.7" top="0.75" bottom="0.75" header="0.3" footer="0.3"/>
  <pageSetup paperSize="9" scale="6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FA4C8-426C-4CFD-B36B-492E9C452DC8}">
  <dimension ref="A1:M43"/>
  <sheetViews>
    <sheetView rightToLeft="1" view="pageBreakPreview" zoomScale="72" zoomScaleNormal="71" zoomScaleSheetLayoutView="85" workbookViewId="0">
      <selection sqref="A1:L1"/>
    </sheetView>
  </sheetViews>
  <sheetFormatPr defaultRowHeight="14.5" x14ac:dyDescent="0.35"/>
  <cols>
    <col min="1" max="1" width="12.453125" customWidth="1"/>
    <col min="2" max="2" width="17.08984375" customWidth="1"/>
    <col min="4" max="4" width="8.7265625" customWidth="1"/>
    <col min="6" max="6" width="27.7265625" customWidth="1"/>
    <col min="7" max="7" width="9.7265625" customWidth="1"/>
    <col min="9" max="9" width="5" customWidth="1"/>
    <col min="12" max="12" width="6.453125" customWidth="1"/>
  </cols>
  <sheetData>
    <row r="1" spans="1:12" ht="21.5" customHeight="1" x14ac:dyDescent="0.35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</row>
    <row r="2" spans="1:12" ht="21.5" customHeight="1" x14ac:dyDescent="0.35">
      <c r="A2" s="63" t="s">
        <v>15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5"/>
    </row>
    <row r="3" spans="1:12" s="1" customFormat="1" ht="21.5" customHeight="1" x14ac:dyDescent="0.35">
      <c r="A3" s="22" t="s">
        <v>84</v>
      </c>
      <c r="B3" s="21">
        <f>سەرەتا!D2</f>
        <v>6</v>
      </c>
      <c r="C3" s="23" t="s">
        <v>85</v>
      </c>
      <c r="D3" s="21" t="str">
        <f>سەرەتا!C2</f>
        <v>٢٠٢٥-٢٠٢٦</v>
      </c>
      <c r="E3" s="74" t="s">
        <v>86</v>
      </c>
      <c r="F3" s="74"/>
      <c r="G3" s="74"/>
      <c r="H3" s="23" t="s">
        <v>87</v>
      </c>
      <c r="I3" s="74">
        <f>سەرەتا!C7</f>
        <v>102</v>
      </c>
      <c r="J3" s="74"/>
      <c r="K3" s="66"/>
      <c r="L3" s="67"/>
    </row>
    <row r="4" spans="1:12" ht="21.5" customHeight="1" x14ac:dyDescent="0.35">
      <c r="A4" s="38" t="s">
        <v>1</v>
      </c>
      <c r="B4" s="38" t="s">
        <v>2</v>
      </c>
      <c r="C4" s="55" t="s">
        <v>3</v>
      </c>
      <c r="D4" s="55"/>
      <c r="E4" s="55"/>
      <c r="F4" s="55"/>
      <c r="G4" s="55"/>
      <c r="H4" s="55"/>
      <c r="I4" s="55"/>
      <c r="J4" s="55"/>
      <c r="K4" s="55"/>
      <c r="L4" s="55"/>
    </row>
    <row r="5" spans="1:12" ht="21.5" customHeight="1" x14ac:dyDescent="0.35">
      <c r="A5" s="39" t="s">
        <v>20</v>
      </c>
      <c r="B5" s="40">
        <v>46113</v>
      </c>
      <c r="C5" s="55" t="s">
        <v>28</v>
      </c>
      <c r="D5" s="55"/>
      <c r="E5" s="55"/>
      <c r="F5" s="55"/>
      <c r="G5" s="55"/>
      <c r="H5" s="55"/>
      <c r="I5" s="55"/>
      <c r="J5" s="55"/>
      <c r="K5" s="55"/>
      <c r="L5" s="55"/>
    </row>
    <row r="6" spans="1:12" ht="21.5" customHeight="1" x14ac:dyDescent="0.35">
      <c r="A6" s="39" t="s">
        <v>22</v>
      </c>
      <c r="B6" s="40">
        <v>46114</v>
      </c>
      <c r="C6" s="55" t="s">
        <v>23</v>
      </c>
      <c r="D6" s="55"/>
      <c r="E6" s="55"/>
      <c r="F6" s="55"/>
      <c r="G6" s="55"/>
      <c r="H6" s="55"/>
      <c r="I6" s="55"/>
      <c r="J6" s="55"/>
      <c r="K6" s="55"/>
      <c r="L6" s="55"/>
    </row>
    <row r="7" spans="1:12" ht="21.5" customHeight="1" x14ac:dyDescent="0.35">
      <c r="A7" s="39" t="s">
        <v>21</v>
      </c>
      <c r="B7" s="40">
        <v>46115</v>
      </c>
      <c r="C7" s="55" t="s">
        <v>28</v>
      </c>
      <c r="D7" s="55"/>
      <c r="E7" s="55"/>
      <c r="F7" s="55"/>
      <c r="G7" s="55"/>
      <c r="H7" s="55"/>
      <c r="I7" s="55"/>
      <c r="J7" s="55"/>
      <c r="K7" s="55"/>
      <c r="L7" s="55"/>
    </row>
    <row r="8" spans="1:12" ht="21.5" customHeight="1" x14ac:dyDescent="0.35">
      <c r="A8" s="39" t="s">
        <v>16</v>
      </c>
      <c r="B8" s="40">
        <v>46116</v>
      </c>
      <c r="C8" s="55" t="s">
        <v>28</v>
      </c>
      <c r="D8" s="55"/>
      <c r="E8" s="55"/>
      <c r="F8" s="55"/>
      <c r="G8" s="55"/>
      <c r="H8" s="55"/>
      <c r="I8" s="55"/>
      <c r="J8" s="55"/>
      <c r="K8" s="55"/>
      <c r="L8" s="55"/>
    </row>
    <row r="9" spans="1:12" ht="21.5" customHeight="1" x14ac:dyDescent="0.35">
      <c r="A9" s="39" t="s">
        <v>17</v>
      </c>
      <c r="B9" s="40">
        <v>46117</v>
      </c>
      <c r="C9" s="70" t="s">
        <v>41</v>
      </c>
      <c r="D9" s="71"/>
      <c r="E9" s="71"/>
      <c r="F9" s="71"/>
      <c r="G9" s="71"/>
      <c r="H9" s="71"/>
      <c r="I9" s="71"/>
      <c r="J9" s="71"/>
      <c r="K9" s="71"/>
      <c r="L9" s="72"/>
    </row>
    <row r="10" spans="1:12" ht="21.5" customHeight="1" x14ac:dyDescent="0.35">
      <c r="A10" s="39" t="s">
        <v>18</v>
      </c>
      <c r="B10" s="40">
        <v>46118</v>
      </c>
      <c r="C10" s="70" t="s">
        <v>42</v>
      </c>
      <c r="D10" s="71"/>
      <c r="E10" s="71"/>
      <c r="F10" s="71"/>
      <c r="G10" s="71"/>
      <c r="H10" s="71"/>
      <c r="I10" s="71"/>
      <c r="J10" s="71"/>
      <c r="K10" s="71"/>
      <c r="L10" s="72"/>
    </row>
    <row r="11" spans="1:12" ht="21.5" customHeight="1" x14ac:dyDescent="0.35">
      <c r="A11" s="39" t="s">
        <v>19</v>
      </c>
      <c r="B11" s="40">
        <v>46119</v>
      </c>
      <c r="C11" s="70" t="s">
        <v>43</v>
      </c>
      <c r="D11" s="71"/>
      <c r="E11" s="71"/>
      <c r="F11" s="71"/>
      <c r="G11" s="71"/>
      <c r="H11" s="71"/>
      <c r="I11" s="71"/>
      <c r="J11" s="71"/>
      <c r="K11" s="71"/>
      <c r="L11" s="72"/>
    </row>
    <row r="12" spans="1:12" ht="21.5" customHeight="1" x14ac:dyDescent="0.35">
      <c r="A12" s="39" t="s">
        <v>20</v>
      </c>
      <c r="B12" s="40">
        <v>46120</v>
      </c>
      <c r="C12" s="55" t="s">
        <v>23</v>
      </c>
      <c r="D12" s="55"/>
      <c r="E12" s="55"/>
      <c r="F12" s="55"/>
      <c r="G12" s="55"/>
      <c r="H12" s="55"/>
      <c r="I12" s="55"/>
      <c r="J12" s="55"/>
      <c r="K12" s="55"/>
      <c r="L12" s="55"/>
    </row>
    <row r="13" spans="1:12" ht="21.5" customHeight="1" x14ac:dyDescent="0.35">
      <c r="A13" s="39" t="s">
        <v>22</v>
      </c>
      <c r="B13" s="40">
        <v>46121</v>
      </c>
      <c r="C13" s="55" t="s">
        <v>23</v>
      </c>
      <c r="D13" s="55"/>
      <c r="E13" s="55"/>
      <c r="F13" s="55"/>
      <c r="G13" s="55"/>
      <c r="H13" s="55"/>
      <c r="I13" s="55"/>
      <c r="J13" s="55"/>
      <c r="K13" s="55"/>
      <c r="L13" s="55"/>
    </row>
    <row r="14" spans="1:12" ht="21.5" customHeight="1" x14ac:dyDescent="0.35">
      <c r="A14" s="39" t="s">
        <v>21</v>
      </c>
      <c r="B14" s="40">
        <v>46122</v>
      </c>
      <c r="C14" s="55" t="s">
        <v>28</v>
      </c>
      <c r="D14" s="55"/>
      <c r="E14" s="55"/>
      <c r="F14" s="55"/>
      <c r="G14" s="55"/>
      <c r="H14" s="55"/>
      <c r="I14" s="55"/>
      <c r="J14" s="55"/>
      <c r="K14" s="55"/>
      <c r="L14" s="55"/>
    </row>
    <row r="15" spans="1:12" ht="21.5" customHeight="1" x14ac:dyDescent="0.35">
      <c r="A15" s="39" t="s">
        <v>16</v>
      </c>
      <c r="B15" s="40">
        <v>46123</v>
      </c>
      <c r="C15" s="55" t="s">
        <v>28</v>
      </c>
      <c r="D15" s="55"/>
      <c r="E15" s="55"/>
      <c r="F15" s="55"/>
      <c r="G15" s="55"/>
      <c r="H15" s="55"/>
      <c r="I15" s="55"/>
      <c r="J15" s="55"/>
      <c r="K15" s="55"/>
      <c r="L15" s="55"/>
    </row>
    <row r="16" spans="1:12" ht="21.5" customHeight="1" x14ac:dyDescent="0.35">
      <c r="A16" s="39" t="s">
        <v>17</v>
      </c>
      <c r="B16" s="40">
        <v>46124</v>
      </c>
      <c r="C16" s="55" t="s">
        <v>44</v>
      </c>
      <c r="D16" s="55"/>
      <c r="E16" s="55"/>
      <c r="F16" s="55"/>
      <c r="G16" s="55"/>
      <c r="H16" s="55"/>
      <c r="I16" s="55"/>
      <c r="J16" s="55"/>
      <c r="K16" s="55"/>
      <c r="L16" s="55"/>
    </row>
    <row r="17" spans="1:12" ht="21.5" customHeight="1" x14ac:dyDescent="0.35">
      <c r="A17" s="39" t="s">
        <v>18</v>
      </c>
      <c r="B17" s="40">
        <v>46125</v>
      </c>
      <c r="C17" s="55" t="s">
        <v>45</v>
      </c>
      <c r="D17" s="55"/>
      <c r="E17" s="55"/>
      <c r="F17" s="55"/>
      <c r="G17" s="55"/>
      <c r="H17" s="55"/>
      <c r="I17" s="55"/>
      <c r="J17" s="55"/>
      <c r="K17" s="55"/>
      <c r="L17" s="55"/>
    </row>
    <row r="18" spans="1:12" ht="21.5" customHeight="1" x14ac:dyDescent="0.35">
      <c r="A18" s="39" t="s">
        <v>19</v>
      </c>
      <c r="B18" s="40">
        <v>46126</v>
      </c>
      <c r="C18" s="55" t="s">
        <v>23</v>
      </c>
      <c r="D18" s="55"/>
      <c r="E18" s="55"/>
      <c r="F18" s="55"/>
      <c r="G18" s="55"/>
      <c r="H18" s="55"/>
      <c r="I18" s="55"/>
      <c r="J18" s="55"/>
      <c r="K18" s="55"/>
      <c r="L18" s="55"/>
    </row>
    <row r="19" spans="1:12" ht="21.5" customHeight="1" x14ac:dyDescent="0.35">
      <c r="A19" s="39" t="s">
        <v>20</v>
      </c>
      <c r="B19" s="40">
        <v>46127</v>
      </c>
      <c r="C19" s="55" t="s">
        <v>28</v>
      </c>
      <c r="D19" s="55"/>
      <c r="E19" s="55"/>
      <c r="F19" s="55"/>
      <c r="G19" s="55"/>
      <c r="H19" s="55"/>
      <c r="I19" s="55"/>
      <c r="J19" s="55"/>
      <c r="K19" s="55"/>
      <c r="L19" s="55"/>
    </row>
    <row r="20" spans="1:12" ht="21.5" customHeight="1" x14ac:dyDescent="0.35">
      <c r="A20" s="39" t="s">
        <v>22</v>
      </c>
      <c r="B20" s="40">
        <v>46128</v>
      </c>
      <c r="C20" s="55" t="s">
        <v>23</v>
      </c>
      <c r="D20" s="55"/>
      <c r="E20" s="55"/>
      <c r="F20" s="55"/>
      <c r="G20" s="55"/>
      <c r="H20" s="55"/>
      <c r="I20" s="55"/>
      <c r="J20" s="55"/>
      <c r="K20" s="55"/>
      <c r="L20" s="55"/>
    </row>
    <row r="21" spans="1:12" ht="21.5" customHeight="1" x14ac:dyDescent="0.35">
      <c r="A21" s="39" t="s">
        <v>21</v>
      </c>
      <c r="B21" s="40">
        <v>46129</v>
      </c>
      <c r="C21" s="55" t="s">
        <v>28</v>
      </c>
      <c r="D21" s="55"/>
      <c r="E21" s="55"/>
      <c r="F21" s="55"/>
      <c r="G21" s="55"/>
      <c r="H21" s="55"/>
      <c r="I21" s="55"/>
      <c r="J21" s="55"/>
      <c r="K21" s="55"/>
      <c r="L21" s="55"/>
    </row>
    <row r="22" spans="1:12" ht="21.5" customHeight="1" x14ac:dyDescent="0.35">
      <c r="A22" s="39" t="s">
        <v>16</v>
      </c>
      <c r="B22" s="40">
        <v>46130</v>
      </c>
      <c r="C22" s="55" t="s">
        <v>28</v>
      </c>
      <c r="D22" s="55"/>
      <c r="E22" s="55"/>
      <c r="F22" s="55"/>
      <c r="G22" s="55"/>
      <c r="H22" s="55"/>
      <c r="I22" s="55"/>
      <c r="J22" s="55"/>
      <c r="K22" s="55"/>
      <c r="L22" s="55"/>
    </row>
    <row r="23" spans="1:12" ht="21.5" customHeight="1" x14ac:dyDescent="0.35">
      <c r="A23" s="39" t="s">
        <v>17</v>
      </c>
      <c r="B23" s="40">
        <v>46131</v>
      </c>
      <c r="C23" s="55" t="s">
        <v>23</v>
      </c>
      <c r="D23" s="55"/>
      <c r="E23" s="55"/>
      <c r="F23" s="55"/>
      <c r="G23" s="55"/>
      <c r="H23" s="55"/>
      <c r="I23" s="55"/>
      <c r="J23" s="55"/>
      <c r="K23" s="55"/>
      <c r="L23" s="55"/>
    </row>
    <row r="24" spans="1:12" ht="21.5" x14ac:dyDescent="0.35">
      <c r="A24" s="39" t="s">
        <v>18</v>
      </c>
      <c r="B24" s="40">
        <v>46132</v>
      </c>
      <c r="C24" s="55" t="s">
        <v>23</v>
      </c>
      <c r="D24" s="55"/>
      <c r="E24" s="55"/>
      <c r="F24" s="55"/>
      <c r="G24" s="55"/>
      <c r="H24" s="55"/>
      <c r="I24" s="55"/>
      <c r="J24" s="55"/>
      <c r="K24" s="55"/>
      <c r="L24" s="55"/>
    </row>
    <row r="25" spans="1:12" ht="21.5" customHeight="1" x14ac:dyDescent="0.35">
      <c r="A25" s="39" t="s">
        <v>19</v>
      </c>
      <c r="B25" s="40">
        <v>46133</v>
      </c>
      <c r="C25" s="55" t="s">
        <v>23</v>
      </c>
      <c r="D25" s="55"/>
      <c r="E25" s="55"/>
      <c r="F25" s="55"/>
      <c r="G25" s="55"/>
      <c r="H25" s="55"/>
      <c r="I25" s="55"/>
      <c r="J25" s="55"/>
      <c r="K25" s="55"/>
      <c r="L25" s="55"/>
    </row>
    <row r="26" spans="1:12" ht="21.5" customHeight="1" x14ac:dyDescent="0.35">
      <c r="A26" s="39" t="s">
        <v>20</v>
      </c>
      <c r="B26" s="40">
        <v>46134</v>
      </c>
      <c r="C26" s="55" t="s">
        <v>23</v>
      </c>
      <c r="D26" s="55"/>
      <c r="E26" s="55"/>
      <c r="F26" s="55"/>
      <c r="G26" s="55"/>
      <c r="H26" s="55"/>
      <c r="I26" s="55"/>
      <c r="J26" s="55"/>
      <c r="K26" s="55"/>
      <c r="L26" s="55"/>
    </row>
    <row r="27" spans="1:12" ht="21.5" customHeight="1" x14ac:dyDescent="0.35">
      <c r="A27" s="39" t="s">
        <v>22</v>
      </c>
      <c r="B27" s="40">
        <v>46135</v>
      </c>
      <c r="C27" s="55" t="s">
        <v>23</v>
      </c>
      <c r="D27" s="55"/>
      <c r="E27" s="55"/>
      <c r="F27" s="55"/>
      <c r="G27" s="55"/>
      <c r="H27" s="55"/>
      <c r="I27" s="55"/>
      <c r="J27" s="55"/>
      <c r="K27" s="55"/>
      <c r="L27" s="55"/>
    </row>
    <row r="28" spans="1:12" ht="21.5" customHeight="1" x14ac:dyDescent="0.35">
      <c r="A28" s="39" t="s">
        <v>21</v>
      </c>
      <c r="B28" s="40">
        <v>46136</v>
      </c>
      <c r="C28" s="55" t="s">
        <v>28</v>
      </c>
      <c r="D28" s="55"/>
      <c r="E28" s="55"/>
      <c r="F28" s="55"/>
      <c r="G28" s="55"/>
      <c r="H28" s="55"/>
      <c r="I28" s="55"/>
      <c r="J28" s="55"/>
      <c r="K28" s="55"/>
      <c r="L28" s="55"/>
    </row>
    <row r="29" spans="1:12" ht="21.5" customHeight="1" x14ac:dyDescent="0.35">
      <c r="A29" s="39" t="s">
        <v>16</v>
      </c>
      <c r="B29" s="40">
        <v>46137</v>
      </c>
      <c r="C29" s="55" t="s">
        <v>28</v>
      </c>
      <c r="D29" s="55"/>
      <c r="E29" s="55"/>
      <c r="F29" s="55"/>
      <c r="G29" s="55"/>
      <c r="H29" s="55"/>
      <c r="I29" s="55"/>
      <c r="J29" s="55"/>
      <c r="K29" s="55"/>
      <c r="L29" s="55"/>
    </row>
    <row r="30" spans="1:12" ht="21.5" customHeight="1" x14ac:dyDescent="0.35">
      <c r="A30" s="39" t="s">
        <v>17</v>
      </c>
      <c r="B30" s="40">
        <v>46138</v>
      </c>
      <c r="C30" s="55" t="s">
        <v>23</v>
      </c>
      <c r="D30" s="55"/>
      <c r="E30" s="55"/>
      <c r="F30" s="55"/>
      <c r="G30" s="55"/>
      <c r="H30" s="55"/>
      <c r="I30" s="55"/>
      <c r="J30" s="55"/>
      <c r="K30" s="55"/>
      <c r="L30" s="55"/>
    </row>
    <row r="31" spans="1:12" ht="21.5" customHeight="1" x14ac:dyDescent="0.35">
      <c r="A31" s="39" t="s">
        <v>18</v>
      </c>
      <c r="B31" s="40">
        <v>46139</v>
      </c>
      <c r="C31" s="55" t="s">
        <v>46</v>
      </c>
      <c r="D31" s="55"/>
      <c r="E31" s="55"/>
      <c r="F31" s="55"/>
      <c r="G31" s="55"/>
      <c r="H31" s="55"/>
      <c r="I31" s="55"/>
      <c r="J31" s="55"/>
      <c r="K31" s="55"/>
      <c r="L31" s="55"/>
    </row>
    <row r="32" spans="1:12" ht="21.5" customHeight="1" x14ac:dyDescent="0.35">
      <c r="A32" s="39" t="s">
        <v>19</v>
      </c>
      <c r="B32" s="40">
        <v>46140</v>
      </c>
      <c r="C32" s="55" t="s">
        <v>23</v>
      </c>
      <c r="D32" s="55"/>
      <c r="E32" s="55"/>
      <c r="F32" s="55"/>
      <c r="G32" s="55"/>
      <c r="H32" s="55"/>
      <c r="I32" s="55"/>
      <c r="J32" s="55"/>
      <c r="K32" s="55"/>
      <c r="L32" s="55"/>
    </row>
    <row r="33" spans="1:13" ht="21.5" customHeight="1" x14ac:dyDescent="0.35">
      <c r="A33" s="39" t="s">
        <v>20</v>
      </c>
      <c r="B33" s="40">
        <v>46141</v>
      </c>
      <c r="C33" s="55" t="s">
        <v>23</v>
      </c>
      <c r="D33" s="55"/>
      <c r="E33" s="55"/>
      <c r="F33" s="55"/>
      <c r="G33" s="55"/>
      <c r="H33" s="55"/>
      <c r="I33" s="55"/>
      <c r="J33" s="55"/>
      <c r="K33" s="55"/>
      <c r="L33" s="55"/>
    </row>
    <row r="34" spans="1:13" ht="21.5" customHeight="1" x14ac:dyDescent="0.35">
      <c r="A34" s="39" t="s">
        <v>22</v>
      </c>
      <c r="B34" s="40">
        <v>46142</v>
      </c>
      <c r="C34" s="55" t="s">
        <v>23</v>
      </c>
      <c r="D34" s="55"/>
      <c r="E34" s="55"/>
      <c r="F34" s="55"/>
      <c r="G34" s="55"/>
      <c r="H34" s="55"/>
      <c r="I34" s="55"/>
      <c r="J34" s="55"/>
      <c r="K34" s="55"/>
      <c r="L34" s="55"/>
    </row>
    <row r="35" spans="1:13" s="3" customFormat="1" ht="31.5" customHeight="1" x14ac:dyDescent="0.35">
      <c r="A35" s="68" t="s">
        <v>29</v>
      </c>
      <c r="B35" s="68"/>
      <c r="C35" s="69"/>
      <c r="D35" s="69" t="s">
        <v>30</v>
      </c>
      <c r="E35" s="69"/>
      <c r="F35" s="69"/>
      <c r="G35" s="68" t="s">
        <v>31</v>
      </c>
      <c r="H35" s="68"/>
      <c r="I35" s="68"/>
      <c r="J35" s="68"/>
      <c r="K35" s="68"/>
      <c r="L35" s="68"/>
    </row>
    <row r="36" spans="1:13" s="3" customFormat="1" ht="47" customHeight="1" x14ac:dyDescent="0.35">
      <c r="A36" s="41" t="s">
        <v>33</v>
      </c>
      <c r="B36" s="41" t="s">
        <v>34</v>
      </c>
      <c r="C36" s="41" t="s">
        <v>32</v>
      </c>
      <c r="D36" s="41" t="s">
        <v>33</v>
      </c>
      <c r="E36" s="41" t="s">
        <v>34</v>
      </c>
      <c r="F36" s="41" t="s">
        <v>32</v>
      </c>
      <c r="G36" s="41" t="s">
        <v>33</v>
      </c>
      <c r="H36" s="41" t="s">
        <v>34</v>
      </c>
      <c r="I36" s="56" t="s">
        <v>35</v>
      </c>
      <c r="J36" s="56"/>
      <c r="K36" s="57" t="s">
        <v>32</v>
      </c>
      <c r="L36" s="57"/>
    </row>
    <row r="37" spans="1:13" s="3" customFormat="1" ht="17" x14ac:dyDescent="0.35">
      <c r="A37" s="42">
        <v>5</v>
      </c>
      <c r="B37" s="42">
        <v>0</v>
      </c>
      <c r="C37" s="43">
        <f>B37+A37</f>
        <v>5</v>
      </c>
      <c r="D37" s="42">
        <v>5</v>
      </c>
      <c r="E37" s="42">
        <v>0</v>
      </c>
      <c r="F37" s="42">
        <f>E37+D37</f>
        <v>5</v>
      </c>
      <c r="G37" s="42">
        <v>5</v>
      </c>
      <c r="H37" s="42">
        <v>0</v>
      </c>
      <c r="I37" s="58"/>
      <c r="J37" s="59"/>
      <c r="K37" s="58">
        <f>I37+H37+G37</f>
        <v>5</v>
      </c>
      <c r="L37" s="59"/>
    </row>
    <row r="38" spans="1:13" s="2" customFormat="1" ht="17" x14ac:dyDescent="0.6">
      <c r="A38" s="53" t="s">
        <v>4</v>
      </c>
      <c r="B38" s="53"/>
      <c r="C38" s="53"/>
      <c r="D38" s="44"/>
      <c r="E38" s="53" t="s">
        <v>5</v>
      </c>
      <c r="F38" s="53"/>
      <c r="G38" s="53"/>
      <c r="H38" s="53"/>
      <c r="I38" s="44"/>
      <c r="J38" s="53" t="s">
        <v>6</v>
      </c>
      <c r="K38" s="53"/>
      <c r="L38" s="45">
        <v>1</v>
      </c>
      <c r="M38" s="4"/>
    </row>
    <row r="39" spans="1:13" s="2" customFormat="1" ht="54.5" customHeight="1" x14ac:dyDescent="0.6">
      <c r="A39" s="53" t="s">
        <v>7</v>
      </c>
      <c r="B39" s="53"/>
      <c r="C39" s="53"/>
      <c r="D39" s="54"/>
      <c r="E39" s="53" t="s">
        <v>8</v>
      </c>
      <c r="F39" s="53"/>
      <c r="G39" s="53"/>
      <c r="H39" s="53"/>
      <c r="I39" s="44"/>
      <c r="J39" s="53" t="s">
        <v>9</v>
      </c>
      <c r="K39" s="53"/>
      <c r="L39" s="44"/>
      <c r="M39" s="4"/>
    </row>
    <row r="40" spans="1:13" s="2" customFormat="1" ht="48" customHeight="1" x14ac:dyDescent="0.6">
      <c r="A40" s="53"/>
      <c r="B40" s="53"/>
      <c r="C40" s="53"/>
      <c r="D40" s="54"/>
      <c r="E40" s="53" t="s">
        <v>11</v>
      </c>
      <c r="F40" s="53"/>
      <c r="G40" s="53"/>
      <c r="H40" s="53"/>
      <c r="I40" s="44"/>
      <c r="J40" s="53" t="s">
        <v>12</v>
      </c>
      <c r="K40" s="53"/>
      <c r="L40" s="44"/>
      <c r="M40" s="4"/>
    </row>
    <row r="41" spans="1:13" s="2" customFormat="1" ht="39" customHeight="1" x14ac:dyDescent="0.6">
      <c r="A41" s="53" t="s">
        <v>10</v>
      </c>
      <c r="B41" s="53"/>
      <c r="C41" s="53"/>
      <c r="D41" s="44"/>
      <c r="E41" s="53" t="s">
        <v>13</v>
      </c>
      <c r="F41" s="53"/>
      <c r="G41" s="53"/>
      <c r="H41" s="53"/>
      <c r="I41" s="44"/>
      <c r="J41" s="53" t="s">
        <v>14</v>
      </c>
      <c r="K41" s="53"/>
      <c r="L41" s="44"/>
      <c r="M41" s="4"/>
    </row>
    <row r="42" spans="1:13" ht="39" customHeight="1" x14ac:dyDescent="0.35"/>
    <row r="43" spans="1:13" s="2" customFormat="1" ht="14.5" customHeight="1" x14ac:dyDescent="0.6">
      <c r="A43" s="36" t="s">
        <v>92</v>
      </c>
      <c r="B43" s="36" t="str">
        <f>سەرەتا!B7</f>
        <v xml:space="preserve">خالد ابراهيم رحيم </v>
      </c>
      <c r="D43" s="36"/>
      <c r="E43" s="36" t="s">
        <v>93</v>
      </c>
      <c r="F43" s="37"/>
      <c r="G43" s="36"/>
      <c r="H43" s="36" t="s">
        <v>94</v>
      </c>
      <c r="I43" s="36"/>
    </row>
  </sheetData>
  <mergeCells count="55">
    <mergeCell ref="C24:L24"/>
    <mergeCell ref="C25:L25"/>
    <mergeCell ref="C26:L26"/>
    <mergeCell ref="C5:L5"/>
    <mergeCell ref="C6:L6"/>
    <mergeCell ref="C7:L7"/>
    <mergeCell ref="C8:L8"/>
    <mergeCell ref="C9:L9"/>
    <mergeCell ref="C10:L10"/>
    <mergeCell ref="C11:L11"/>
    <mergeCell ref="C12:L12"/>
    <mergeCell ref="C13:L13"/>
    <mergeCell ref="C14:L14"/>
    <mergeCell ref="C15:L15"/>
    <mergeCell ref="C16:L16"/>
    <mergeCell ref="C23:L23"/>
    <mergeCell ref="A1:L1"/>
    <mergeCell ref="A2:L2"/>
    <mergeCell ref="C4:L4"/>
    <mergeCell ref="E3:G3"/>
    <mergeCell ref="K3:L3"/>
    <mergeCell ref="I3:J3"/>
    <mergeCell ref="C17:L17"/>
    <mergeCell ref="C19:L19"/>
    <mergeCell ref="C20:L20"/>
    <mergeCell ref="C21:L21"/>
    <mergeCell ref="C22:L22"/>
    <mergeCell ref="C18:L18"/>
    <mergeCell ref="C27:L27"/>
    <mergeCell ref="C28:L28"/>
    <mergeCell ref="C29:L29"/>
    <mergeCell ref="C30:L30"/>
    <mergeCell ref="C31:L31"/>
    <mergeCell ref="C32:L32"/>
    <mergeCell ref="A35:C35"/>
    <mergeCell ref="C33:L33"/>
    <mergeCell ref="C34:L34"/>
    <mergeCell ref="D35:F35"/>
    <mergeCell ref="G35:L35"/>
    <mergeCell ref="A38:C38"/>
    <mergeCell ref="E38:H38"/>
    <mergeCell ref="J38:K38"/>
    <mergeCell ref="I36:J36"/>
    <mergeCell ref="K36:L36"/>
    <mergeCell ref="I37:J37"/>
    <mergeCell ref="K37:L37"/>
    <mergeCell ref="E39:H39"/>
    <mergeCell ref="J39:K39"/>
    <mergeCell ref="E40:H40"/>
    <mergeCell ref="J40:K40"/>
    <mergeCell ref="A41:C41"/>
    <mergeCell ref="E41:H41"/>
    <mergeCell ref="J41:K41"/>
    <mergeCell ref="A39:C40"/>
    <mergeCell ref="D39:D40"/>
  </mergeCells>
  <pageMargins left="0.7" right="0.7" top="0.75" bottom="0.75" header="0.3" footer="0.3"/>
  <pageSetup paperSize="9" scale="61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D65B8-B7A3-4963-89F9-DF82A053DBA4}">
  <dimension ref="A1:M41"/>
  <sheetViews>
    <sheetView rightToLeft="1" zoomScale="80" zoomScaleNormal="51" zoomScaleSheetLayoutView="70" workbookViewId="0">
      <selection sqref="A1:L1"/>
    </sheetView>
  </sheetViews>
  <sheetFormatPr defaultRowHeight="14.5" x14ac:dyDescent="0.35"/>
  <cols>
    <col min="1" max="1" width="12.453125" customWidth="1"/>
    <col min="2" max="2" width="17.08984375" customWidth="1"/>
    <col min="4" max="4" width="8.7265625" customWidth="1"/>
    <col min="6" max="6" width="27.7265625" customWidth="1"/>
    <col min="7" max="7" width="9.7265625" customWidth="1"/>
    <col min="9" max="9" width="5" customWidth="1"/>
    <col min="12" max="12" width="6.453125" customWidth="1"/>
  </cols>
  <sheetData>
    <row r="1" spans="1:12" ht="21.5" customHeight="1" x14ac:dyDescent="0.35">
      <c r="A1" s="60" t="s">
        <v>0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2"/>
    </row>
    <row r="2" spans="1:12" ht="21.5" customHeight="1" x14ac:dyDescent="0.35">
      <c r="A2" s="63" t="s">
        <v>15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5"/>
    </row>
    <row r="3" spans="1:12" s="49" customFormat="1" ht="21.5" customHeight="1" x14ac:dyDescent="0.35">
      <c r="A3" s="46" t="s">
        <v>84</v>
      </c>
      <c r="B3" s="47">
        <f>سەرەتا!D2</f>
        <v>6</v>
      </c>
      <c r="C3" s="48" t="s">
        <v>85</v>
      </c>
      <c r="D3" s="47" t="str">
        <f>سەرەتا!C2</f>
        <v>٢٠٢٥-٢٠٢٦</v>
      </c>
      <c r="E3" s="75" t="s">
        <v>86</v>
      </c>
      <c r="F3" s="75"/>
      <c r="G3" s="75"/>
      <c r="H3" s="48" t="s">
        <v>87</v>
      </c>
      <c r="I3" s="75">
        <f>سەرەتا!C8</f>
        <v>103</v>
      </c>
      <c r="J3" s="75"/>
      <c r="K3" s="76"/>
      <c r="L3" s="77"/>
    </row>
    <row r="4" spans="1:12" ht="21.5" customHeight="1" x14ac:dyDescent="0.35">
      <c r="A4" s="38" t="s">
        <v>1</v>
      </c>
      <c r="B4" s="38" t="s">
        <v>2</v>
      </c>
      <c r="C4" s="55" t="s">
        <v>3</v>
      </c>
      <c r="D4" s="55"/>
      <c r="E4" s="55"/>
      <c r="F4" s="55"/>
      <c r="G4" s="55"/>
      <c r="H4" s="55"/>
      <c r="I4" s="55"/>
      <c r="J4" s="55"/>
      <c r="K4" s="55"/>
      <c r="L4" s="55"/>
    </row>
    <row r="5" spans="1:12" ht="21.5" customHeight="1" x14ac:dyDescent="0.35">
      <c r="A5" s="39" t="s">
        <v>16</v>
      </c>
      <c r="B5" s="40">
        <v>45689</v>
      </c>
      <c r="C5" s="55" t="s">
        <v>23</v>
      </c>
      <c r="D5" s="55"/>
      <c r="E5" s="55"/>
      <c r="F5" s="55"/>
      <c r="G5" s="55"/>
      <c r="H5" s="55"/>
      <c r="I5" s="55"/>
      <c r="J5" s="55"/>
      <c r="K5" s="55"/>
      <c r="L5" s="55"/>
    </row>
    <row r="6" spans="1:12" ht="21.5" customHeight="1" x14ac:dyDescent="0.35">
      <c r="A6" s="39" t="s">
        <v>17</v>
      </c>
      <c r="B6" s="40">
        <v>45690</v>
      </c>
      <c r="C6" s="55" t="s">
        <v>36</v>
      </c>
      <c r="D6" s="55"/>
      <c r="E6" s="55"/>
      <c r="F6" s="55"/>
      <c r="G6" s="55"/>
      <c r="H6" s="55"/>
      <c r="I6" s="55"/>
      <c r="J6" s="55"/>
      <c r="K6" s="55"/>
      <c r="L6" s="55"/>
    </row>
    <row r="7" spans="1:12" ht="21.5" customHeight="1" x14ac:dyDescent="0.35">
      <c r="A7" s="39" t="s">
        <v>18</v>
      </c>
      <c r="B7" s="40">
        <v>45691</v>
      </c>
      <c r="C7" s="55" t="s">
        <v>36</v>
      </c>
      <c r="D7" s="55"/>
      <c r="E7" s="55"/>
      <c r="F7" s="55"/>
      <c r="G7" s="55"/>
      <c r="H7" s="55"/>
      <c r="I7" s="55"/>
      <c r="J7" s="55"/>
      <c r="K7" s="55"/>
      <c r="L7" s="55"/>
    </row>
    <row r="8" spans="1:12" ht="21.5" customHeight="1" x14ac:dyDescent="0.35">
      <c r="A8" s="39" t="s">
        <v>19</v>
      </c>
      <c r="B8" s="40">
        <v>45692</v>
      </c>
      <c r="C8" s="55" t="s">
        <v>36</v>
      </c>
      <c r="D8" s="55"/>
      <c r="E8" s="55"/>
      <c r="F8" s="55"/>
      <c r="G8" s="55"/>
      <c r="H8" s="55"/>
      <c r="I8" s="55"/>
      <c r="J8" s="55"/>
      <c r="K8" s="55"/>
      <c r="L8" s="55"/>
    </row>
    <row r="9" spans="1:12" ht="21.5" customHeight="1" x14ac:dyDescent="0.35">
      <c r="A9" s="39" t="s">
        <v>20</v>
      </c>
      <c r="B9" s="40">
        <v>45693</v>
      </c>
      <c r="C9" s="55" t="s">
        <v>37</v>
      </c>
      <c r="D9" s="55"/>
      <c r="E9" s="55"/>
      <c r="F9" s="55"/>
      <c r="G9" s="55"/>
      <c r="H9" s="55"/>
      <c r="I9" s="55"/>
      <c r="J9" s="55"/>
      <c r="K9" s="55"/>
      <c r="L9" s="55"/>
    </row>
    <row r="10" spans="1:12" ht="21.5" x14ac:dyDescent="0.35">
      <c r="A10" s="39" t="s">
        <v>22</v>
      </c>
      <c r="B10" s="40">
        <v>45694</v>
      </c>
      <c r="C10" s="55" t="s">
        <v>23</v>
      </c>
      <c r="D10" s="55"/>
      <c r="E10" s="55"/>
      <c r="F10" s="55"/>
      <c r="G10" s="55"/>
      <c r="H10" s="55"/>
      <c r="I10" s="55"/>
      <c r="J10" s="55"/>
      <c r="K10" s="55"/>
      <c r="L10" s="55"/>
    </row>
    <row r="11" spans="1:12" ht="21.5" customHeight="1" x14ac:dyDescent="0.35">
      <c r="A11" s="39" t="s">
        <v>21</v>
      </c>
      <c r="B11" s="40">
        <v>45695</v>
      </c>
      <c r="C11" s="55" t="s">
        <v>28</v>
      </c>
      <c r="D11" s="55"/>
      <c r="E11" s="55"/>
      <c r="F11" s="55"/>
      <c r="G11" s="55"/>
      <c r="H11" s="55"/>
      <c r="I11" s="55"/>
      <c r="J11" s="55"/>
      <c r="K11" s="55"/>
      <c r="L11" s="55"/>
    </row>
    <row r="12" spans="1:12" ht="21.5" customHeight="1" x14ac:dyDescent="0.35">
      <c r="A12" s="39" t="s">
        <v>16</v>
      </c>
      <c r="B12" s="40">
        <v>45696</v>
      </c>
      <c r="C12" s="55" t="s">
        <v>28</v>
      </c>
      <c r="D12" s="55"/>
      <c r="E12" s="55"/>
      <c r="F12" s="55"/>
      <c r="G12" s="55"/>
      <c r="H12" s="55"/>
      <c r="I12" s="55"/>
      <c r="J12" s="55"/>
      <c r="K12" s="55"/>
      <c r="L12" s="55"/>
    </row>
    <row r="13" spans="1:12" ht="21.5" customHeight="1" x14ac:dyDescent="0.35">
      <c r="A13" s="39" t="s">
        <v>17</v>
      </c>
      <c r="B13" s="40">
        <v>45697</v>
      </c>
      <c r="C13" s="55" t="s">
        <v>38</v>
      </c>
      <c r="D13" s="55"/>
      <c r="E13" s="55"/>
      <c r="F13" s="55"/>
      <c r="G13" s="55"/>
      <c r="H13" s="55"/>
      <c r="I13" s="55"/>
      <c r="J13" s="55"/>
      <c r="K13" s="55"/>
      <c r="L13" s="55"/>
    </row>
    <row r="14" spans="1:12" ht="21.5" customHeight="1" x14ac:dyDescent="0.35">
      <c r="A14" s="39" t="s">
        <v>18</v>
      </c>
      <c r="B14" s="40">
        <v>45698</v>
      </c>
      <c r="C14" s="55" t="s">
        <v>38</v>
      </c>
      <c r="D14" s="55"/>
      <c r="E14" s="55"/>
      <c r="F14" s="55"/>
      <c r="G14" s="55"/>
      <c r="H14" s="55"/>
      <c r="I14" s="55"/>
      <c r="J14" s="55"/>
      <c r="K14" s="55"/>
      <c r="L14" s="55"/>
    </row>
    <row r="15" spans="1:12" ht="21.5" customHeight="1" x14ac:dyDescent="0.35">
      <c r="A15" s="39" t="s">
        <v>19</v>
      </c>
      <c r="B15" s="40">
        <v>45699</v>
      </c>
      <c r="C15" s="55" t="s">
        <v>38</v>
      </c>
      <c r="D15" s="55"/>
      <c r="E15" s="55"/>
      <c r="F15" s="55"/>
      <c r="G15" s="55"/>
      <c r="H15" s="55"/>
      <c r="I15" s="55"/>
      <c r="J15" s="55"/>
      <c r="K15" s="55"/>
      <c r="L15" s="55"/>
    </row>
    <row r="16" spans="1:12" ht="21.5" customHeight="1" x14ac:dyDescent="0.35">
      <c r="A16" s="39" t="s">
        <v>20</v>
      </c>
      <c r="B16" s="40">
        <v>45700</v>
      </c>
      <c r="C16" s="55" t="s">
        <v>23</v>
      </c>
      <c r="D16" s="55"/>
      <c r="E16" s="55"/>
      <c r="F16" s="55"/>
      <c r="G16" s="55"/>
      <c r="H16" s="55"/>
      <c r="I16" s="55"/>
      <c r="J16" s="55"/>
      <c r="K16" s="55"/>
      <c r="L16" s="55"/>
    </row>
    <row r="17" spans="1:12" ht="21.5" x14ac:dyDescent="0.35">
      <c r="A17" s="39" t="s">
        <v>22</v>
      </c>
      <c r="B17" s="40">
        <v>45701</v>
      </c>
      <c r="C17" s="55" t="s">
        <v>23</v>
      </c>
      <c r="D17" s="55"/>
      <c r="E17" s="55"/>
      <c r="F17" s="55"/>
      <c r="G17" s="55"/>
      <c r="H17" s="55"/>
      <c r="I17" s="55"/>
      <c r="J17" s="55"/>
      <c r="K17" s="55"/>
      <c r="L17" s="55"/>
    </row>
    <row r="18" spans="1:12" ht="21.5" customHeight="1" x14ac:dyDescent="0.35">
      <c r="A18" s="39" t="s">
        <v>21</v>
      </c>
      <c r="B18" s="40">
        <v>45702</v>
      </c>
      <c r="C18" s="55" t="s">
        <v>28</v>
      </c>
      <c r="D18" s="55"/>
      <c r="E18" s="55"/>
      <c r="F18" s="55"/>
      <c r="G18" s="55"/>
      <c r="H18" s="55"/>
      <c r="I18" s="55"/>
      <c r="J18" s="55"/>
      <c r="K18" s="55"/>
      <c r="L18" s="55"/>
    </row>
    <row r="19" spans="1:12" ht="21.5" customHeight="1" x14ac:dyDescent="0.35">
      <c r="A19" s="39" t="s">
        <v>16</v>
      </c>
      <c r="B19" s="40">
        <v>45703</v>
      </c>
      <c r="C19" s="55" t="s">
        <v>28</v>
      </c>
      <c r="D19" s="55"/>
      <c r="E19" s="55"/>
      <c r="F19" s="55"/>
      <c r="G19" s="55"/>
      <c r="H19" s="55"/>
      <c r="I19" s="55"/>
      <c r="J19" s="55"/>
      <c r="K19" s="55"/>
      <c r="L19" s="55"/>
    </row>
    <row r="20" spans="1:12" ht="21.5" customHeight="1" x14ac:dyDescent="0.35">
      <c r="A20" s="39" t="s">
        <v>17</v>
      </c>
      <c r="B20" s="40">
        <v>45704</v>
      </c>
      <c r="C20" s="55" t="s">
        <v>25</v>
      </c>
      <c r="D20" s="55"/>
      <c r="E20" s="55"/>
      <c r="F20" s="55"/>
      <c r="G20" s="55"/>
      <c r="H20" s="55"/>
      <c r="I20" s="55"/>
      <c r="J20" s="55"/>
      <c r="K20" s="55"/>
      <c r="L20" s="55"/>
    </row>
    <row r="21" spans="1:12" ht="21.5" customHeight="1" x14ac:dyDescent="0.35">
      <c r="A21" s="39" t="s">
        <v>18</v>
      </c>
      <c r="B21" s="40">
        <v>45705</v>
      </c>
      <c r="C21" s="55" t="s">
        <v>24</v>
      </c>
      <c r="D21" s="55"/>
      <c r="E21" s="55"/>
      <c r="F21" s="55"/>
      <c r="G21" s="55"/>
      <c r="H21" s="55"/>
      <c r="I21" s="55"/>
      <c r="J21" s="55"/>
      <c r="K21" s="55"/>
      <c r="L21" s="55"/>
    </row>
    <row r="22" spans="1:12" ht="21.5" customHeight="1" x14ac:dyDescent="0.35">
      <c r="A22" s="39" t="s">
        <v>19</v>
      </c>
      <c r="B22" s="40">
        <v>45706</v>
      </c>
      <c r="C22" s="55" t="s">
        <v>26</v>
      </c>
      <c r="D22" s="55"/>
      <c r="E22" s="55"/>
      <c r="F22" s="55"/>
      <c r="G22" s="55"/>
      <c r="H22" s="55"/>
      <c r="I22" s="55"/>
      <c r="J22" s="55"/>
      <c r="K22" s="55"/>
      <c r="L22" s="55"/>
    </row>
    <row r="23" spans="1:12" ht="21.5" customHeight="1" x14ac:dyDescent="0.35">
      <c r="A23" s="39" t="s">
        <v>20</v>
      </c>
      <c r="B23" s="40">
        <v>45707</v>
      </c>
      <c r="C23" s="55" t="s">
        <v>27</v>
      </c>
      <c r="D23" s="55"/>
      <c r="E23" s="55"/>
      <c r="F23" s="55"/>
      <c r="G23" s="55"/>
      <c r="H23" s="55"/>
      <c r="I23" s="55"/>
      <c r="J23" s="55"/>
      <c r="K23" s="55"/>
      <c r="L23" s="55"/>
    </row>
    <row r="24" spans="1:12" ht="21.5" x14ac:dyDescent="0.35">
      <c r="A24" s="39" t="s">
        <v>22</v>
      </c>
      <c r="B24" s="40">
        <v>45708</v>
      </c>
      <c r="C24" s="55" t="s">
        <v>28</v>
      </c>
      <c r="D24" s="55"/>
      <c r="E24" s="55"/>
      <c r="F24" s="55"/>
      <c r="G24" s="55"/>
      <c r="H24" s="55"/>
      <c r="I24" s="55"/>
      <c r="J24" s="55"/>
      <c r="K24" s="55"/>
      <c r="L24" s="55"/>
    </row>
    <row r="25" spans="1:12" ht="21.5" customHeight="1" x14ac:dyDescent="0.35">
      <c r="A25" s="39" t="s">
        <v>21</v>
      </c>
      <c r="B25" s="40">
        <v>45709</v>
      </c>
      <c r="C25" s="55" t="s">
        <v>28</v>
      </c>
      <c r="D25" s="55"/>
      <c r="E25" s="55"/>
      <c r="F25" s="55"/>
      <c r="G25" s="55"/>
      <c r="H25" s="55"/>
      <c r="I25" s="55"/>
      <c r="J25" s="55"/>
      <c r="K25" s="55"/>
      <c r="L25" s="55"/>
    </row>
    <row r="26" spans="1:12" ht="21.5" customHeight="1" x14ac:dyDescent="0.35">
      <c r="A26" s="39" t="s">
        <v>16</v>
      </c>
      <c r="B26" s="40">
        <v>45710</v>
      </c>
      <c r="C26" s="55" t="s">
        <v>23</v>
      </c>
      <c r="D26" s="55"/>
      <c r="E26" s="55"/>
      <c r="F26" s="55"/>
      <c r="G26" s="55"/>
      <c r="H26" s="55"/>
      <c r="I26" s="55"/>
      <c r="J26" s="55"/>
      <c r="K26" s="55"/>
      <c r="L26" s="55"/>
    </row>
    <row r="27" spans="1:12" ht="21.5" customHeight="1" x14ac:dyDescent="0.35">
      <c r="A27" s="39" t="s">
        <v>17</v>
      </c>
      <c r="B27" s="40">
        <v>45711</v>
      </c>
      <c r="C27" s="55" t="s">
        <v>23</v>
      </c>
      <c r="D27" s="55"/>
      <c r="E27" s="55"/>
      <c r="F27" s="55"/>
      <c r="G27" s="55"/>
      <c r="H27" s="55"/>
      <c r="I27" s="55"/>
      <c r="J27" s="55"/>
      <c r="K27" s="55"/>
      <c r="L27" s="55"/>
    </row>
    <row r="28" spans="1:12" ht="21.5" customHeight="1" x14ac:dyDescent="0.35">
      <c r="A28" s="39" t="s">
        <v>18</v>
      </c>
      <c r="B28" s="40">
        <v>45712</v>
      </c>
      <c r="C28" s="55" t="s">
        <v>23</v>
      </c>
      <c r="D28" s="55"/>
      <c r="E28" s="55"/>
      <c r="F28" s="55"/>
      <c r="G28" s="55"/>
      <c r="H28" s="55"/>
      <c r="I28" s="55"/>
      <c r="J28" s="55"/>
      <c r="K28" s="55"/>
      <c r="L28" s="55"/>
    </row>
    <row r="29" spans="1:12" ht="21.5" x14ac:dyDescent="0.35">
      <c r="A29" s="39" t="s">
        <v>19</v>
      </c>
      <c r="B29" s="40">
        <v>45713</v>
      </c>
      <c r="C29" s="55" t="s">
        <v>23</v>
      </c>
      <c r="D29" s="55"/>
      <c r="E29" s="55"/>
      <c r="F29" s="55"/>
      <c r="G29" s="55"/>
      <c r="H29" s="55"/>
      <c r="I29" s="55"/>
      <c r="J29" s="55"/>
      <c r="K29" s="55"/>
      <c r="L29" s="55"/>
    </row>
    <row r="30" spans="1:12" ht="21.5" x14ac:dyDescent="0.35">
      <c r="A30" s="39" t="s">
        <v>20</v>
      </c>
      <c r="B30" s="40">
        <v>45714</v>
      </c>
      <c r="C30" s="55" t="s">
        <v>23</v>
      </c>
      <c r="D30" s="55"/>
      <c r="E30" s="55"/>
      <c r="F30" s="55"/>
      <c r="G30" s="55"/>
      <c r="H30" s="55"/>
      <c r="I30" s="55"/>
      <c r="J30" s="55"/>
      <c r="K30" s="55"/>
      <c r="L30" s="55"/>
    </row>
    <row r="31" spans="1:12" ht="21.5" x14ac:dyDescent="0.35">
      <c r="A31" s="39" t="s">
        <v>22</v>
      </c>
      <c r="B31" s="40">
        <v>45715</v>
      </c>
      <c r="C31" s="55" t="s">
        <v>23</v>
      </c>
      <c r="D31" s="55"/>
      <c r="E31" s="55"/>
      <c r="F31" s="55"/>
      <c r="G31" s="55"/>
      <c r="H31" s="55"/>
      <c r="I31" s="55"/>
      <c r="J31" s="55"/>
      <c r="K31" s="55"/>
      <c r="L31" s="55"/>
    </row>
    <row r="32" spans="1:12" ht="21.5" customHeight="1" x14ac:dyDescent="0.35">
      <c r="A32" s="39" t="s">
        <v>21</v>
      </c>
      <c r="B32" s="40">
        <v>45716</v>
      </c>
      <c r="C32" s="55" t="s">
        <v>28</v>
      </c>
      <c r="D32" s="55"/>
      <c r="E32" s="55"/>
      <c r="F32" s="55"/>
      <c r="G32" s="55"/>
      <c r="H32" s="55"/>
      <c r="I32" s="55"/>
      <c r="J32" s="55"/>
      <c r="K32" s="55"/>
      <c r="L32" s="55"/>
    </row>
    <row r="33" spans="1:13" s="3" customFormat="1" ht="31.5" customHeight="1" x14ac:dyDescent="0.35">
      <c r="A33" s="68" t="s">
        <v>29</v>
      </c>
      <c r="B33" s="68"/>
      <c r="C33" s="69"/>
      <c r="D33" s="69" t="s">
        <v>30</v>
      </c>
      <c r="E33" s="69"/>
      <c r="F33" s="69"/>
      <c r="G33" s="68" t="s">
        <v>31</v>
      </c>
      <c r="H33" s="68"/>
      <c r="I33" s="68"/>
      <c r="J33" s="68"/>
      <c r="K33" s="68"/>
      <c r="L33" s="68"/>
    </row>
    <row r="34" spans="1:13" s="3" customFormat="1" ht="47" customHeight="1" x14ac:dyDescent="0.35">
      <c r="A34" s="41" t="s">
        <v>33</v>
      </c>
      <c r="B34" s="41" t="s">
        <v>34</v>
      </c>
      <c r="C34" s="41" t="s">
        <v>32</v>
      </c>
      <c r="D34" s="41" t="s">
        <v>33</v>
      </c>
      <c r="E34" s="41" t="s">
        <v>34</v>
      </c>
      <c r="F34" s="41" t="s">
        <v>32</v>
      </c>
      <c r="G34" s="41" t="s">
        <v>33</v>
      </c>
      <c r="H34" s="41" t="s">
        <v>34</v>
      </c>
      <c r="I34" s="56" t="s">
        <v>35</v>
      </c>
      <c r="J34" s="56"/>
      <c r="K34" s="57" t="s">
        <v>32</v>
      </c>
      <c r="L34" s="57"/>
    </row>
    <row r="35" spans="1:13" s="3" customFormat="1" ht="17" x14ac:dyDescent="0.35">
      <c r="A35" s="42">
        <v>5</v>
      </c>
      <c r="B35" s="42">
        <v>15</v>
      </c>
      <c r="C35" s="43">
        <f>B35+A35</f>
        <v>20</v>
      </c>
      <c r="D35" s="42">
        <v>4</v>
      </c>
      <c r="E35" s="42">
        <v>3</v>
      </c>
      <c r="F35" s="42">
        <f>E35+D35</f>
        <v>7</v>
      </c>
      <c r="G35" s="42">
        <v>4</v>
      </c>
      <c r="H35" s="42">
        <v>3</v>
      </c>
      <c r="I35" s="58"/>
      <c r="J35" s="59"/>
      <c r="K35" s="58">
        <f>I35+H35+G35</f>
        <v>7</v>
      </c>
      <c r="L35" s="59"/>
    </row>
    <row r="36" spans="1:13" s="2" customFormat="1" ht="17" x14ac:dyDescent="0.6">
      <c r="A36" s="53" t="s">
        <v>4</v>
      </c>
      <c r="B36" s="53"/>
      <c r="C36" s="53"/>
      <c r="D36" s="44"/>
      <c r="E36" s="53" t="s">
        <v>5</v>
      </c>
      <c r="F36" s="53"/>
      <c r="G36" s="53"/>
      <c r="H36" s="53"/>
      <c r="I36" s="44"/>
      <c r="J36" s="53" t="s">
        <v>6</v>
      </c>
      <c r="K36" s="53"/>
      <c r="L36" s="45">
        <v>1</v>
      </c>
      <c r="M36" s="4"/>
    </row>
    <row r="37" spans="1:13" s="2" customFormat="1" ht="54.5" customHeight="1" x14ac:dyDescent="0.6">
      <c r="A37" s="53" t="s">
        <v>7</v>
      </c>
      <c r="B37" s="53"/>
      <c r="C37" s="53"/>
      <c r="D37" s="54"/>
      <c r="E37" s="53" t="s">
        <v>8</v>
      </c>
      <c r="F37" s="53"/>
      <c r="G37" s="53"/>
      <c r="H37" s="53"/>
      <c r="I37" s="44"/>
      <c r="J37" s="53" t="s">
        <v>9</v>
      </c>
      <c r="K37" s="53"/>
      <c r="L37" s="44"/>
      <c r="M37" s="4"/>
    </row>
    <row r="38" spans="1:13" s="2" customFormat="1" ht="48" customHeight="1" x14ac:dyDescent="0.6">
      <c r="A38" s="53"/>
      <c r="B38" s="53"/>
      <c r="C38" s="53"/>
      <c r="D38" s="54"/>
      <c r="E38" s="53" t="s">
        <v>11</v>
      </c>
      <c r="F38" s="53"/>
      <c r="G38" s="53"/>
      <c r="H38" s="53"/>
      <c r="I38" s="44"/>
      <c r="J38" s="53" t="s">
        <v>12</v>
      </c>
      <c r="K38" s="53"/>
      <c r="L38" s="44"/>
      <c r="M38" s="4"/>
    </row>
    <row r="39" spans="1:13" s="2" customFormat="1" ht="39" customHeight="1" x14ac:dyDescent="0.6">
      <c r="A39" s="53" t="s">
        <v>10</v>
      </c>
      <c r="B39" s="53"/>
      <c r="C39" s="53"/>
      <c r="D39" s="44"/>
      <c r="E39" s="53" t="s">
        <v>13</v>
      </c>
      <c r="F39" s="53"/>
      <c r="G39" s="53"/>
      <c r="H39" s="53"/>
      <c r="I39" s="44"/>
      <c r="J39" s="53" t="s">
        <v>14</v>
      </c>
      <c r="K39" s="53"/>
      <c r="L39" s="44"/>
      <c r="M39" s="4"/>
    </row>
    <row r="40" spans="1:13" ht="39" customHeight="1" x14ac:dyDescent="0.35"/>
    <row r="41" spans="1:13" s="2" customFormat="1" ht="14.5" customHeight="1" x14ac:dyDescent="0.6">
      <c r="A41" s="36" t="s">
        <v>92</v>
      </c>
      <c r="B41" s="36" t="str">
        <f>سەرەتا!B8</f>
        <v xml:space="preserve">بەرخەوان عثمان امين </v>
      </c>
      <c r="D41" s="36"/>
      <c r="E41" s="36" t="s">
        <v>93</v>
      </c>
      <c r="F41" s="37"/>
      <c r="G41" s="36"/>
      <c r="H41" s="36" t="s">
        <v>94</v>
      </c>
      <c r="I41" s="36"/>
    </row>
  </sheetData>
  <mergeCells count="53">
    <mergeCell ref="C21:L21"/>
    <mergeCell ref="C22:L22"/>
    <mergeCell ref="C10:L10"/>
    <mergeCell ref="C11:L11"/>
    <mergeCell ref="C12:L12"/>
    <mergeCell ref="C13:L13"/>
    <mergeCell ref="C14:L14"/>
    <mergeCell ref="C15:L15"/>
    <mergeCell ref="C16:L16"/>
    <mergeCell ref="C17:L17"/>
    <mergeCell ref="C18:L18"/>
    <mergeCell ref="C19:L19"/>
    <mergeCell ref="C20:L20"/>
    <mergeCell ref="A1:L1"/>
    <mergeCell ref="A2:L2"/>
    <mergeCell ref="C4:L4"/>
    <mergeCell ref="E3:G3"/>
    <mergeCell ref="K3:L3"/>
    <mergeCell ref="I3:J3"/>
    <mergeCell ref="C5:L5"/>
    <mergeCell ref="C6:L6"/>
    <mergeCell ref="C7:L7"/>
    <mergeCell ref="C8:L8"/>
    <mergeCell ref="C9:L9"/>
    <mergeCell ref="C23:L23"/>
    <mergeCell ref="C24:L24"/>
    <mergeCell ref="C25:L25"/>
    <mergeCell ref="C26:L26"/>
    <mergeCell ref="C27:L27"/>
    <mergeCell ref="A39:C39"/>
    <mergeCell ref="E39:H39"/>
    <mergeCell ref="J39:K39"/>
    <mergeCell ref="C28:L28"/>
    <mergeCell ref="C29:L29"/>
    <mergeCell ref="C30:L30"/>
    <mergeCell ref="C31:L31"/>
    <mergeCell ref="C32:L32"/>
    <mergeCell ref="A36:C36"/>
    <mergeCell ref="A33:C33"/>
    <mergeCell ref="D33:F33"/>
    <mergeCell ref="G33:L33"/>
    <mergeCell ref="I34:J34"/>
    <mergeCell ref="K34:L34"/>
    <mergeCell ref="I35:J35"/>
    <mergeCell ref="K35:L35"/>
    <mergeCell ref="E36:H36"/>
    <mergeCell ref="J36:K36"/>
    <mergeCell ref="A37:C38"/>
    <mergeCell ref="D37:D38"/>
    <mergeCell ref="E37:H37"/>
    <mergeCell ref="J37:K37"/>
    <mergeCell ref="E38:H38"/>
    <mergeCell ref="J38:K38"/>
  </mergeCells>
  <phoneticPr fontId="2" type="noConversion"/>
  <printOptions horizontalCentered="1" verticalCentered="1"/>
  <pageMargins left="0" right="0" top="0" bottom="0" header="0" footer="0"/>
  <pageSetup paperSize="9" scale="6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45220-CCC7-4A8C-8259-92806E627632}">
  <dimension ref="A1:AD18"/>
  <sheetViews>
    <sheetView rightToLeft="1" view="pageBreakPreview" zoomScale="60" zoomScaleNormal="63" workbookViewId="0">
      <selection sqref="A1:AD1"/>
    </sheetView>
  </sheetViews>
  <sheetFormatPr defaultRowHeight="14.5" x14ac:dyDescent="0.35"/>
  <cols>
    <col min="1" max="1" width="5.7265625" bestFit="1" customWidth="1"/>
    <col min="2" max="2" width="25.54296875" bestFit="1" customWidth="1"/>
    <col min="3" max="3" width="20.453125" bestFit="1" customWidth="1"/>
    <col min="4" max="4" width="3.81640625" customWidth="1"/>
    <col min="5" max="5" width="5.54296875" bestFit="1" customWidth="1"/>
    <col min="6" max="6" width="4.7265625" bestFit="1" customWidth="1"/>
    <col min="7" max="7" width="5.54296875" bestFit="1" customWidth="1"/>
    <col min="8" max="8" width="4.7265625" bestFit="1" customWidth="1"/>
    <col min="9" max="9" width="5.54296875" bestFit="1" customWidth="1"/>
    <col min="10" max="10" width="4.7265625" bestFit="1" customWidth="1"/>
    <col min="11" max="11" width="5.54296875" bestFit="1" customWidth="1"/>
    <col min="12" max="12" width="4.7265625" bestFit="1" customWidth="1"/>
    <col min="13" max="13" width="5.54296875" bestFit="1" customWidth="1"/>
    <col min="14" max="15" width="4.7265625" bestFit="1" customWidth="1"/>
    <col min="16" max="17" width="5.54296875" bestFit="1" customWidth="1"/>
    <col min="18" max="18" width="7.54296875" customWidth="1"/>
    <col min="19" max="20" width="4.453125" bestFit="1" customWidth="1"/>
    <col min="21" max="22" width="5.54296875" bestFit="1" customWidth="1"/>
    <col min="23" max="25" width="4.453125" bestFit="1" customWidth="1"/>
    <col min="26" max="26" width="5.54296875" bestFit="1" customWidth="1"/>
    <col min="27" max="28" width="4.453125" bestFit="1" customWidth="1"/>
    <col min="29" max="29" width="4" bestFit="1" customWidth="1"/>
    <col min="30" max="30" width="4.453125" bestFit="1" customWidth="1"/>
  </cols>
  <sheetData>
    <row r="1" spans="1:30" s="5" customFormat="1" ht="21" x14ac:dyDescent="0.5">
      <c r="A1" s="78" t="s">
        <v>47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</row>
    <row r="2" spans="1:30" s="5" customFormat="1" ht="21.5" thickBot="1" x14ac:dyDescent="0.45">
      <c r="A2" s="100" t="s">
        <v>83</v>
      </c>
      <c r="B2" s="100"/>
      <c r="C2" s="100"/>
      <c r="D2" s="100"/>
      <c r="E2" s="100"/>
      <c r="F2" s="100"/>
      <c r="G2" s="100"/>
      <c r="H2" s="100"/>
      <c r="I2" s="100"/>
      <c r="J2" s="100"/>
      <c r="K2" s="100"/>
      <c r="L2" s="100"/>
      <c r="M2" s="100"/>
      <c r="N2" s="100"/>
      <c r="O2" s="100"/>
      <c r="P2" s="100"/>
      <c r="Q2" s="100"/>
      <c r="R2" s="6">
        <v>-2</v>
      </c>
      <c r="S2" s="101" t="s">
        <v>82</v>
      </c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</row>
    <row r="3" spans="1:30" ht="19" thickBot="1" x14ac:dyDescent="0.4">
      <c r="A3" s="79" t="s">
        <v>48</v>
      </c>
      <c r="B3" s="79" t="s">
        <v>49</v>
      </c>
      <c r="C3" s="81" t="s">
        <v>50</v>
      </c>
      <c r="D3" s="83" t="s">
        <v>51</v>
      </c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5" t="s">
        <v>52</v>
      </c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7"/>
    </row>
    <row r="4" spans="1:30" x14ac:dyDescent="0.35">
      <c r="A4" s="80"/>
      <c r="B4" s="80"/>
      <c r="C4" s="82"/>
      <c r="D4" s="88" t="s">
        <v>53</v>
      </c>
      <c r="E4" s="88"/>
      <c r="F4" s="88"/>
      <c r="G4" s="89"/>
      <c r="H4" s="90" t="s">
        <v>54</v>
      </c>
      <c r="I4" s="91"/>
      <c r="J4" s="91"/>
      <c r="K4" s="92"/>
      <c r="L4" s="93" t="s">
        <v>55</v>
      </c>
      <c r="M4" s="88"/>
      <c r="N4" s="88"/>
      <c r="O4" s="88"/>
      <c r="P4" s="88"/>
      <c r="Q4" s="95" t="s">
        <v>56</v>
      </c>
      <c r="R4" s="95" t="s">
        <v>57</v>
      </c>
      <c r="S4" s="94" t="s">
        <v>7</v>
      </c>
      <c r="T4" s="94" t="s">
        <v>58</v>
      </c>
      <c r="U4" s="94" t="s">
        <v>59</v>
      </c>
      <c r="V4" s="94" t="s">
        <v>5</v>
      </c>
      <c r="W4" s="114" t="s">
        <v>8</v>
      </c>
      <c r="X4" s="94" t="s">
        <v>60</v>
      </c>
      <c r="Y4" s="94" t="s">
        <v>61</v>
      </c>
      <c r="Z4" s="94" t="s">
        <v>62</v>
      </c>
      <c r="AA4" s="94" t="s">
        <v>63</v>
      </c>
      <c r="AB4" s="94" t="s">
        <v>64</v>
      </c>
      <c r="AC4" s="94" t="s">
        <v>65</v>
      </c>
      <c r="AD4" s="94" t="s">
        <v>66</v>
      </c>
    </row>
    <row r="5" spans="1:30" x14ac:dyDescent="0.35">
      <c r="A5" s="80"/>
      <c r="B5" s="80"/>
      <c r="C5" s="82"/>
      <c r="D5" s="102" t="s">
        <v>67</v>
      </c>
      <c r="E5" s="102"/>
      <c r="F5" s="102"/>
      <c r="G5" s="103"/>
      <c r="H5" s="104" t="s">
        <v>68</v>
      </c>
      <c r="I5" s="105"/>
      <c r="J5" s="105"/>
      <c r="K5" s="106"/>
      <c r="L5" s="107" t="s">
        <v>69</v>
      </c>
      <c r="M5" s="102"/>
      <c r="N5" s="102"/>
      <c r="O5" s="102"/>
      <c r="P5" s="102"/>
      <c r="Q5" s="95"/>
      <c r="R5" s="95"/>
      <c r="S5" s="94"/>
      <c r="T5" s="94"/>
      <c r="U5" s="94"/>
      <c r="V5" s="94"/>
      <c r="W5" s="114"/>
      <c r="X5" s="94"/>
      <c r="Y5" s="94"/>
      <c r="Z5" s="94"/>
      <c r="AA5" s="94"/>
      <c r="AB5" s="94"/>
      <c r="AC5" s="94"/>
      <c r="AD5" s="94"/>
    </row>
    <row r="6" spans="1:30" ht="15" thickBot="1" x14ac:dyDescent="0.4">
      <c r="A6" s="80"/>
      <c r="B6" s="80"/>
      <c r="C6" s="82"/>
      <c r="D6" s="108" t="s">
        <v>70</v>
      </c>
      <c r="E6" s="108"/>
      <c r="F6" s="108"/>
      <c r="G6" s="109"/>
      <c r="H6" s="110" t="s">
        <v>71</v>
      </c>
      <c r="I6" s="111"/>
      <c r="J6" s="111"/>
      <c r="K6" s="112"/>
      <c r="L6" s="113" t="s">
        <v>71</v>
      </c>
      <c r="M6" s="108"/>
      <c r="N6" s="108"/>
      <c r="O6" s="108"/>
      <c r="P6" s="108"/>
      <c r="Q6" s="95"/>
      <c r="R6" s="95"/>
      <c r="S6" s="94"/>
      <c r="T6" s="94"/>
      <c r="U6" s="94"/>
      <c r="V6" s="94"/>
      <c r="W6" s="114"/>
      <c r="X6" s="94"/>
      <c r="Y6" s="94"/>
      <c r="Z6" s="94"/>
      <c r="AA6" s="94"/>
      <c r="AB6" s="94"/>
      <c r="AC6" s="94"/>
      <c r="AD6" s="94"/>
    </row>
    <row r="7" spans="1:30" ht="207.5" customHeight="1" x14ac:dyDescent="0.35">
      <c r="A7" s="80"/>
      <c r="B7" s="80"/>
      <c r="C7" s="82"/>
      <c r="D7" s="7" t="s">
        <v>50</v>
      </c>
      <c r="E7" s="7" t="s">
        <v>33</v>
      </c>
      <c r="F7" s="8" t="s">
        <v>72</v>
      </c>
      <c r="G7" s="9" t="s">
        <v>73</v>
      </c>
      <c r="H7" s="8" t="s">
        <v>50</v>
      </c>
      <c r="I7" s="7" t="s">
        <v>33</v>
      </c>
      <c r="J7" s="8" t="s">
        <v>72</v>
      </c>
      <c r="K7" s="8" t="s">
        <v>73</v>
      </c>
      <c r="L7" s="8" t="s">
        <v>50</v>
      </c>
      <c r="M7" s="7" t="s">
        <v>33</v>
      </c>
      <c r="N7" s="8" t="s">
        <v>72</v>
      </c>
      <c r="O7" s="8" t="s">
        <v>74</v>
      </c>
      <c r="P7" s="10" t="s">
        <v>73</v>
      </c>
      <c r="Q7" s="95"/>
      <c r="R7" s="95"/>
      <c r="S7" s="94"/>
      <c r="T7" s="94"/>
      <c r="U7" s="94"/>
      <c r="V7" s="94"/>
      <c r="W7" s="114"/>
      <c r="X7" s="94"/>
      <c r="Y7" s="94"/>
      <c r="Z7" s="94"/>
      <c r="AA7" s="94"/>
      <c r="AB7" s="94"/>
      <c r="AC7" s="94"/>
      <c r="AD7" s="94"/>
    </row>
    <row r="8" spans="1:30" ht="21" x14ac:dyDescent="0.35">
      <c r="A8" s="11">
        <v>1</v>
      </c>
      <c r="B8" s="12" t="s">
        <v>75</v>
      </c>
      <c r="C8" s="11" t="str">
        <f>سەرەتا!B2</f>
        <v>کۆمپیوتەر</v>
      </c>
      <c r="D8" s="11"/>
      <c r="E8" s="11">
        <f>س١!A35</f>
        <v>5</v>
      </c>
      <c r="F8" s="13">
        <f>س١!B35</f>
        <v>0</v>
      </c>
      <c r="G8" s="11">
        <f>SUM(D8:F8)</f>
        <v>5</v>
      </c>
      <c r="H8" s="13"/>
      <c r="I8" s="11">
        <f>س٢!D38</f>
        <v>4</v>
      </c>
      <c r="J8" s="13">
        <f>س٢!E38</f>
        <v>3</v>
      </c>
      <c r="K8" s="14">
        <f>SUM(H8:J8)</f>
        <v>7</v>
      </c>
      <c r="L8" s="13"/>
      <c r="M8" s="11">
        <f>س٢!G38</f>
        <v>4</v>
      </c>
      <c r="N8" s="13">
        <f>س٢!H38</f>
        <v>3</v>
      </c>
      <c r="O8" s="13"/>
      <c r="P8" s="14">
        <f>SUM(L8:N8)</f>
        <v>7</v>
      </c>
      <c r="Q8" s="13">
        <f>سەرەتا!D5</f>
        <v>5</v>
      </c>
      <c r="R8" s="11"/>
      <c r="S8" s="13"/>
      <c r="T8" s="13"/>
      <c r="U8" s="11"/>
      <c r="V8" s="13"/>
      <c r="W8" s="13"/>
      <c r="X8" s="13"/>
      <c r="Y8" s="13"/>
      <c r="Z8" s="11"/>
      <c r="AA8" s="11">
        <v>1</v>
      </c>
      <c r="AB8" s="13"/>
      <c r="AC8" s="13"/>
      <c r="AD8" s="13"/>
    </row>
    <row r="9" spans="1:30" ht="21" x14ac:dyDescent="0.35">
      <c r="A9" s="11">
        <v>2</v>
      </c>
      <c r="B9" s="12" t="s">
        <v>77</v>
      </c>
      <c r="C9" s="11" t="str">
        <f>سەرەتا!B2</f>
        <v>کۆمپیوتەر</v>
      </c>
      <c r="D9" s="11"/>
      <c r="E9" s="11">
        <f>س٢!A38</f>
        <v>5</v>
      </c>
      <c r="F9" s="13">
        <f>س٢!B38</f>
        <v>15</v>
      </c>
      <c r="G9" s="11">
        <f>SUM(D9:F9)</f>
        <v>20</v>
      </c>
      <c r="H9" s="13"/>
      <c r="I9" s="11">
        <f>س٣!D37</f>
        <v>5</v>
      </c>
      <c r="J9" s="13"/>
      <c r="K9" s="14">
        <v>5</v>
      </c>
      <c r="L9" s="13"/>
      <c r="M9" s="11"/>
      <c r="N9" s="13"/>
      <c r="O9" s="13"/>
      <c r="P9" s="14">
        <f>SUM(L9:N9)</f>
        <v>0</v>
      </c>
      <c r="Q9" s="13">
        <f>سەرەتا!D6</f>
        <v>4</v>
      </c>
      <c r="R9" s="11"/>
      <c r="S9" s="13"/>
      <c r="T9" s="13"/>
      <c r="U9" s="11"/>
      <c r="V9" s="13"/>
      <c r="W9" s="13"/>
      <c r="X9" s="13"/>
      <c r="Y9" s="13"/>
      <c r="Z9" s="11"/>
      <c r="AA9" s="11">
        <v>0</v>
      </c>
      <c r="AB9" s="13"/>
      <c r="AC9" s="13"/>
      <c r="AD9" s="13"/>
    </row>
    <row r="10" spans="1:30" ht="21" x14ac:dyDescent="0.35">
      <c r="A10" s="11">
        <v>3</v>
      </c>
      <c r="B10" s="12" t="s">
        <v>78</v>
      </c>
      <c r="C10" s="11" t="str">
        <f>سەرەتا!B2</f>
        <v>کۆمپیوتەر</v>
      </c>
      <c r="D10" s="11"/>
      <c r="E10" s="11">
        <f>س٣!A37</f>
        <v>5</v>
      </c>
      <c r="F10" s="13">
        <f>س٣!B37</f>
        <v>0</v>
      </c>
      <c r="G10" s="11">
        <f t="shared" ref="G10" si="0">SUM(D10:F10)</f>
        <v>5</v>
      </c>
      <c r="H10" s="13"/>
      <c r="I10" s="11">
        <v>5</v>
      </c>
      <c r="J10" s="13">
        <f>س٣!E37</f>
        <v>0</v>
      </c>
      <c r="K10" s="14">
        <f t="shared" ref="K10:K11" si="1">SUM(H10:J10)</f>
        <v>5</v>
      </c>
      <c r="L10" s="13"/>
      <c r="M10" s="11">
        <f>س٣!G37</f>
        <v>5</v>
      </c>
      <c r="N10" s="13">
        <f>س٣!H37</f>
        <v>0</v>
      </c>
      <c r="O10" s="13">
        <f>س٣!I37</f>
        <v>0</v>
      </c>
      <c r="P10" s="14">
        <f t="shared" ref="P10:P11" si="2">SUM(L10:N10)</f>
        <v>5</v>
      </c>
      <c r="Q10" s="13">
        <f>سەرەتا!D7</f>
        <v>3</v>
      </c>
      <c r="R10" s="11"/>
      <c r="S10" s="13"/>
      <c r="T10" s="13"/>
      <c r="U10" s="11"/>
      <c r="V10" s="13"/>
      <c r="W10" s="13"/>
      <c r="X10" s="13"/>
      <c r="Y10" s="13"/>
      <c r="Z10" s="11"/>
      <c r="AA10" s="11">
        <v>0</v>
      </c>
      <c r="AB10" s="13"/>
      <c r="AC10" s="13"/>
      <c r="AD10" s="13"/>
    </row>
    <row r="11" spans="1:30" ht="21" x14ac:dyDescent="0.35">
      <c r="A11" s="11">
        <v>4</v>
      </c>
      <c r="B11" s="12" t="s">
        <v>79</v>
      </c>
      <c r="C11" s="11" t="str">
        <f>سەرەتا!B2</f>
        <v>کۆمپیوتەر</v>
      </c>
      <c r="D11" s="11"/>
      <c r="E11" s="11">
        <f>س٤!A35</f>
        <v>5</v>
      </c>
      <c r="F11" s="13">
        <f>س٤!B35</f>
        <v>15</v>
      </c>
      <c r="G11" s="11">
        <f>SUM(D11:F11)</f>
        <v>20</v>
      </c>
      <c r="H11" s="13"/>
      <c r="I11" s="11">
        <f>س٤!D35</f>
        <v>4</v>
      </c>
      <c r="J11" s="13">
        <f>س٤!E35</f>
        <v>3</v>
      </c>
      <c r="K11" s="14">
        <f t="shared" si="1"/>
        <v>7</v>
      </c>
      <c r="L11" s="13"/>
      <c r="M11" s="11">
        <f>س٤!G35</f>
        <v>4</v>
      </c>
      <c r="N11" s="13">
        <f>س٤!H35</f>
        <v>3</v>
      </c>
      <c r="O11" s="13">
        <f>س٤!I35</f>
        <v>0</v>
      </c>
      <c r="P11" s="14">
        <f t="shared" si="2"/>
        <v>7</v>
      </c>
      <c r="Q11" s="13">
        <f>سەرەتا!D8</f>
        <v>5</v>
      </c>
      <c r="R11" s="11"/>
      <c r="S11" s="13"/>
      <c r="T11" s="13"/>
      <c r="U11" s="11"/>
      <c r="V11" s="13"/>
      <c r="W11" s="13"/>
      <c r="X11" s="13"/>
      <c r="Y11" s="13"/>
      <c r="Z11" s="11"/>
      <c r="AA11" s="13">
        <v>1</v>
      </c>
      <c r="AB11" s="13"/>
      <c r="AC11" s="13"/>
      <c r="AD11" s="13"/>
    </row>
    <row r="12" spans="1:30" ht="18.5" x14ac:dyDescent="0.35">
      <c r="A12" s="96" t="s">
        <v>80</v>
      </c>
      <c r="B12" s="97"/>
      <c r="C12" s="98"/>
      <c r="D12" s="15">
        <f t="shared" ref="D12:AC12" si="3">SUM(D8:D11)</f>
        <v>0</v>
      </c>
      <c r="E12" s="15">
        <f t="shared" si="3"/>
        <v>20</v>
      </c>
      <c r="F12" s="15">
        <f t="shared" si="3"/>
        <v>30</v>
      </c>
      <c r="G12" s="15">
        <f t="shared" si="3"/>
        <v>50</v>
      </c>
      <c r="H12" s="15">
        <f t="shared" si="3"/>
        <v>0</v>
      </c>
      <c r="I12" s="15">
        <f t="shared" si="3"/>
        <v>18</v>
      </c>
      <c r="J12" s="15">
        <f t="shared" si="3"/>
        <v>6</v>
      </c>
      <c r="K12" s="15">
        <f t="shared" si="3"/>
        <v>24</v>
      </c>
      <c r="L12" s="15">
        <f t="shared" si="3"/>
        <v>0</v>
      </c>
      <c r="M12" s="15">
        <f t="shared" si="3"/>
        <v>13</v>
      </c>
      <c r="N12" s="15">
        <f t="shared" si="3"/>
        <v>6</v>
      </c>
      <c r="O12" s="15">
        <f t="shared" si="3"/>
        <v>0</v>
      </c>
      <c r="P12" s="15">
        <f t="shared" si="3"/>
        <v>19</v>
      </c>
      <c r="Q12" s="15">
        <f t="shared" si="3"/>
        <v>17</v>
      </c>
      <c r="R12" s="15">
        <f t="shared" si="3"/>
        <v>0</v>
      </c>
      <c r="S12" s="15">
        <f t="shared" si="3"/>
        <v>0</v>
      </c>
      <c r="T12" s="15">
        <f t="shared" si="3"/>
        <v>0</v>
      </c>
      <c r="U12" s="15">
        <f t="shared" si="3"/>
        <v>0</v>
      </c>
      <c r="V12" s="15">
        <f t="shared" si="3"/>
        <v>0</v>
      </c>
      <c r="W12" s="15">
        <f t="shared" si="3"/>
        <v>0</v>
      </c>
      <c r="X12" s="15">
        <f t="shared" si="3"/>
        <v>0</v>
      </c>
      <c r="Y12" s="15">
        <f t="shared" si="3"/>
        <v>0</v>
      </c>
      <c r="Z12" s="15">
        <f t="shared" si="3"/>
        <v>0</v>
      </c>
      <c r="AA12" s="15">
        <f t="shared" si="3"/>
        <v>2</v>
      </c>
      <c r="AB12" s="15">
        <f t="shared" si="3"/>
        <v>0</v>
      </c>
      <c r="AC12" s="15">
        <f t="shared" si="3"/>
        <v>0</v>
      </c>
      <c r="AD12" s="15">
        <f>SUM(AD8:AD11)</f>
        <v>0</v>
      </c>
    </row>
    <row r="13" spans="1:30" s="18" customFormat="1" ht="18.5" x14ac:dyDescent="0.35">
      <c r="A13" s="16"/>
      <c r="B13" s="16"/>
      <c r="C13" s="16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spans="1:30" s="18" customFormat="1" ht="18.5" x14ac:dyDescent="0.35">
      <c r="A14" s="16"/>
      <c r="B14" s="16"/>
      <c r="C14" s="16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spans="1:30" ht="22.5" x14ac:dyDescent="0.45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34"/>
      <c r="V15" s="99" t="s">
        <v>81</v>
      </c>
      <c r="W15" s="99"/>
      <c r="X15" s="99"/>
      <c r="Y15" s="99"/>
      <c r="Z15" s="99"/>
      <c r="AA15" s="99"/>
      <c r="AB15" s="34"/>
      <c r="AC15" s="20"/>
      <c r="AD15" s="20"/>
    </row>
    <row r="16" spans="1:30" ht="18.5" x14ac:dyDescent="0.35">
      <c r="A16" s="19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V16" s="99"/>
      <c r="W16" s="99"/>
      <c r="X16" s="99"/>
      <c r="Y16" s="99"/>
      <c r="Z16" s="99"/>
      <c r="AA16" s="99"/>
      <c r="AC16" s="20"/>
      <c r="AD16" s="20"/>
    </row>
    <row r="17" spans="22:27" x14ac:dyDescent="0.35">
      <c r="V17" s="99" t="str">
        <f>سەرەتا!F2</f>
        <v>خالد ابراهیم</v>
      </c>
      <c r="W17" s="99"/>
      <c r="X17" s="99"/>
      <c r="Y17" s="99"/>
      <c r="Z17" s="99"/>
      <c r="AA17" s="99"/>
    </row>
    <row r="18" spans="22:27" x14ac:dyDescent="0.35">
      <c r="V18" s="99"/>
      <c r="W18" s="99"/>
      <c r="X18" s="99"/>
      <c r="Y18" s="99"/>
      <c r="Z18" s="99"/>
      <c r="AA18" s="99"/>
    </row>
  </sheetData>
  <mergeCells count="34">
    <mergeCell ref="A2:Q2"/>
    <mergeCell ref="S2:AD2"/>
    <mergeCell ref="AC4:AC7"/>
    <mergeCell ref="AD4:AD7"/>
    <mergeCell ref="D5:G5"/>
    <mergeCell ref="H5:K5"/>
    <mergeCell ref="L5:P5"/>
    <mergeCell ref="D6:G6"/>
    <mergeCell ref="H6:K6"/>
    <mergeCell ref="L6:P6"/>
    <mergeCell ref="W4:W7"/>
    <mergeCell ref="X4:X7"/>
    <mergeCell ref="Y4:Y7"/>
    <mergeCell ref="U4:U7"/>
    <mergeCell ref="V4:V7"/>
    <mergeCell ref="A12:C12"/>
    <mergeCell ref="V17:AA18"/>
    <mergeCell ref="V15:AA16"/>
    <mergeCell ref="A1:AD1"/>
    <mergeCell ref="A3:A7"/>
    <mergeCell ref="B3:B7"/>
    <mergeCell ref="C3:C7"/>
    <mergeCell ref="D3:P3"/>
    <mergeCell ref="Q3:AD3"/>
    <mergeCell ref="D4:G4"/>
    <mergeCell ref="H4:K4"/>
    <mergeCell ref="L4:P4"/>
    <mergeCell ref="Z4:Z7"/>
    <mergeCell ref="AA4:AA7"/>
    <mergeCell ref="AB4:AB7"/>
    <mergeCell ref="Q4:Q7"/>
    <mergeCell ref="R4:R7"/>
    <mergeCell ref="S4:S7"/>
    <mergeCell ref="T4:T7"/>
  </mergeCells>
  <pageMargins left="0.7" right="0.7" top="0.75" bottom="0.75" header="0.3" footer="0.3"/>
  <pageSetup scale="48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سەرەتا</vt:lpstr>
      <vt:lpstr>س١</vt:lpstr>
      <vt:lpstr>س٢</vt:lpstr>
      <vt:lpstr>س٣</vt:lpstr>
      <vt:lpstr>س٤</vt:lpstr>
      <vt:lpstr>پوختە</vt:lpstr>
      <vt:lpstr>س١!Print_Area</vt:lpstr>
      <vt:lpstr>س٢!Print_Area</vt:lpstr>
      <vt:lpstr>س٣!Print_Area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Barkhawan Ameen</dc:creator>
  <cp:lastModifiedBy>Barkhawan Ameen</cp:lastModifiedBy>
  <cp:lastPrinted>2026-04-30T07:12:53Z</cp:lastPrinted>
  <dcterms:created xsi:type="dcterms:W3CDTF">2015-06-05T18:17:20Z</dcterms:created>
  <dcterms:modified xsi:type="dcterms:W3CDTF">2026-05-04T19:26:06Z</dcterms:modified>
</cp:coreProperties>
</file>